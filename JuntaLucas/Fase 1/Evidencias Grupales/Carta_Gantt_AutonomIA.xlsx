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oseo\OneDrive\Escritorio\"/>
    </mc:Choice>
  </mc:AlternateContent>
  <xr:revisionPtr revIDLastSave="0" documentId="13_ncr:1_{5C7B155A-60C5-4AE5-9B35-A90BC4EEBFD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rta Gantt" sheetId="1" r:id="rId1"/>
    <sheet name="Plan de Trabaj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8" i="1" l="1"/>
  <c r="S28" i="1"/>
  <c r="R28" i="1"/>
  <c r="Q28" i="1"/>
  <c r="P28" i="1"/>
  <c r="O28" i="1"/>
  <c r="N28" i="1"/>
  <c r="M28" i="1"/>
  <c r="L28" i="1"/>
  <c r="K28" i="1"/>
  <c r="I28" i="1"/>
  <c r="T27" i="1"/>
  <c r="S27" i="1"/>
  <c r="R27" i="1"/>
  <c r="Q27" i="1"/>
  <c r="P27" i="1"/>
  <c r="O27" i="1"/>
  <c r="N27" i="1"/>
  <c r="M27" i="1"/>
  <c r="L27" i="1"/>
  <c r="K27" i="1"/>
  <c r="I27" i="1"/>
  <c r="T26" i="1"/>
  <c r="S26" i="1"/>
  <c r="R26" i="1"/>
  <c r="Q26" i="1"/>
  <c r="P26" i="1"/>
  <c r="O26" i="1"/>
  <c r="N26" i="1"/>
  <c r="M26" i="1"/>
  <c r="L26" i="1"/>
  <c r="K26" i="1"/>
  <c r="I26" i="1"/>
  <c r="T25" i="1"/>
  <c r="S25" i="1"/>
  <c r="R25" i="1"/>
  <c r="Q25" i="1"/>
  <c r="P25" i="1"/>
  <c r="O25" i="1"/>
  <c r="N25" i="1"/>
  <c r="M25" i="1"/>
  <c r="L25" i="1"/>
  <c r="K25" i="1"/>
  <c r="I25" i="1"/>
  <c r="T24" i="1"/>
  <c r="S24" i="1"/>
  <c r="R24" i="1"/>
  <c r="Q24" i="1"/>
  <c r="P24" i="1"/>
  <c r="O24" i="1"/>
  <c r="N24" i="1"/>
  <c r="M24" i="1"/>
  <c r="L24" i="1"/>
  <c r="K24" i="1"/>
  <c r="I24" i="1"/>
  <c r="T23" i="1"/>
  <c r="S23" i="1"/>
  <c r="R23" i="1"/>
  <c r="Q23" i="1"/>
  <c r="P23" i="1"/>
  <c r="O23" i="1"/>
  <c r="N23" i="1"/>
  <c r="M23" i="1"/>
  <c r="L23" i="1"/>
  <c r="K23" i="1"/>
  <c r="I23" i="1"/>
  <c r="T22" i="1"/>
  <c r="S22" i="1"/>
  <c r="R22" i="1"/>
  <c r="Q22" i="1"/>
  <c r="P22" i="1"/>
  <c r="O22" i="1"/>
  <c r="N22" i="1"/>
  <c r="M22" i="1"/>
  <c r="L22" i="1"/>
  <c r="K22" i="1"/>
  <c r="I22" i="1"/>
  <c r="T21" i="1"/>
  <c r="S21" i="1"/>
  <c r="R21" i="1"/>
  <c r="Q21" i="1"/>
  <c r="P21" i="1"/>
  <c r="O21" i="1"/>
  <c r="N21" i="1"/>
  <c r="M21" i="1"/>
  <c r="L21" i="1"/>
  <c r="K21" i="1"/>
  <c r="I21" i="1"/>
  <c r="T20" i="1"/>
  <c r="S20" i="1"/>
  <c r="R20" i="1"/>
  <c r="Q20" i="1"/>
  <c r="P20" i="1"/>
  <c r="O20" i="1"/>
  <c r="N20" i="1"/>
  <c r="M20" i="1"/>
  <c r="L20" i="1"/>
  <c r="K20" i="1"/>
  <c r="I20" i="1"/>
  <c r="T19" i="1"/>
  <c r="S19" i="1"/>
  <c r="R19" i="1"/>
  <c r="Q19" i="1"/>
  <c r="P19" i="1"/>
  <c r="O19" i="1"/>
  <c r="N19" i="1"/>
  <c r="M19" i="1"/>
  <c r="L19" i="1"/>
  <c r="K19" i="1"/>
  <c r="I19" i="1"/>
  <c r="T18" i="1"/>
  <c r="S18" i="1"/>
  <c r="R18" i="1"/>
  <c r="Q18" i="1"/>
  <c r="P18" i="1"/>
  <c r="O18" i="1"/>
  <c r="N18" i="1"/>
  <c r="M18" i="1"/>
  <c r="L18" i="1"/>
  <c r="K18" i="1"/>
  <c r="I18" i="1"/>
  <c r="T17" i="1"/>
  <c r="S17" i="1"/>
  <c r="R17" i="1"/>
  <c r="Q17" i="1"/>
  <c r="P17" i="1"/>
  <c r="O17" i="1"/>
  <c r="N17" i="1"/>
  <c r="M17" i="1"/>
  <c r="L17" i="1"/>
  <c r="K17" i="1"/>
  <c r="I17" i="1"/>
  <c r="T16" i="1"/>
  <c r="S16" i="1"/>
  <c r="R16" i="1"/>
  <c r="Q16" i="1"/>
  <c r="P16" i="1"/>
  <c r="O16" i="1"/>
  <c r="N16" i="1"/>
  <c r="M16" i="1"/>
  <c r="L16" i="1"/>
  <c r="K16" i="1"/>
  <c r="I16" i="1"/>
  <c r="T15" i="1"/>
  <c r="S15" i="1"/>
  <c r="R15" i="1"/>
  <c r="Q15" i="1"/>
  <c r="P15" i="1"/>
  <c r="O15" i="1"/>
  <c r="N15" i="1"/>
  <c r="M15" i="1"/>
  <c r="L15" i="1"/>
  <c r="K15" i="1"/>
  <c r="I15" i="1"/>
  <c r="T14" i="1"/>
  <c r="S14" i="1"/>
  <c r="R14" i="1"/>
  <c r="Q14" i="1"/>
  <c r="P14" i="1"/>
  <c r="O14" i="1"/>
  <c r="N14" i="1"/>
  <c r="M14" i="1"/>
  <c r="L14" i="1"/>
  <c r="K14" i="1"/>
  <c r="I14" i="1"/>
  <c r="T13" i="1"/>
  <c r="S13" i="1"/>
  <c r="R13" i="1"/>
  <c r="Q13" i="1"/>
  <c r="P13" i="1"/>
  <c r="O13" i="1"/>
  <c r="N13" i="1"/>
  <c r="M13" i="1"/>
  <c r="L13" i="1"/>
  <c r="K13" i="1"/>
  <c r="I13" i="1"/>
  <c r="T12" i="1"/>
  <c r="S12" i="1"/>
  <c r="R12" i="1"/>
  <c r="Q12" i="1"/>
  <c r="P12" i="1"/>
  <c r="O12" i="1"/>
  <c r="N12" i="1"/>
  <c r="M12" i="1"/>
  <c r="L12" i="1"/>
  <c r="K12" i="1"/>
  <c r="I12" i="1"/>
  <c r="T11" i="1"/>
  <c r="S11" i="1"/>
  <c r="R11" i="1"/>
  <c r="Q11" i="1"/>
  <c r="P11" i="1"/>
  <c r="O11" i="1"/>
  <c r="N11" i="1"/>
  <c r="M11" i="1"/>
  <c r="L11" i="1"/>
  <c r="K11" i="1"/>
  <c r="I11" i="1"/>
  <c r="R7" i="1"/>
  <c r="R6" i="1"/>
  <c r="R5" i="1"/>
</calcChain>
</file>

<file path=xl/sharedStrings.xml><?xml version="1.0" encoding="utf-8"?>
<sst xmlns="http://schemas.openxmlformats.org/spreadsheetml/2006/main" count="273" uniqueCount="200">
  <si>
    <t>INTEGRANTES</t>
  </si>
  <si>
    <t>José Oporto / Luciano Sambuceti</t>
  </si>
  <si>
    <t>DURACIÓN</t>
  </si>
  <si>
    <t>10 semanas (2 meses y medio)</t>
  </si>
  <si>
    <t>INICIO PROPUESTO</t>
  </si>
  <si>
    <t>LEYENDA DE ESTADO</t>
  </si>
  <si>
    <t>RESUMEN DE AVANCE</t>
  </si>
  <si>
    <t>METODOLOGÍA</t>
  </si>
  <si>
    <t>Ágil – Scrum</t>
  </si>
  <si>
    <t>ENTORNO</t>
  </si>
  <si>
    <t>Android Studio</t>
  </si>
  <si>
    <t>FIN PROPUESTO</t>
  </si>
  <si>
    <t>Completado</t>
  </si>
  <si>
    <t>Avance estimado</t>
  </si>
  <si>
    <t>ESTADO ACTUAL</t>
  </si>
  <si>
    <t>Proyecto iniciado</t>
  </si>
  <si>
    <t>CONTROL DE VERSIONES</t>
  </si>
  <si>
    <t>GitHub</t>
  </si>
  <si>
    <t>AUTENTICACIÓN</t>
  </si>
  <si>
    <t>Firebase Authentication</t>
  </si>
  <si>
    <t>En curso</t>
  </si>
  <si>
    <t>Tareas completadas</t>
  </si>
  <si>
    <t>Pendiente</t>
  </si>
  <si>
    <t>Tareas en curso</t>
  </si>
  <si>
    <t>MES 1</t>
  </si>
  <si>
    <t>MES 2</t>
  </si>
  <si>
    <t>MEDIO MES</t>
  </si>
  <si>
    <t>ID</t>
  </si>
  <si>
    <t>Fase</t>
  </si>
  <si>
    <t>Actividad / Tarea</t>
  </si>
  <si>
    <t>Herramienta / Recurso</t>
  </si>
  <si>
    <t>Responsable</t>
  </si>
  <si>
    <t>Estado</t>
  </si>
  <si>
    <t>Inicio</t>
  </si>
  <si>
    <t>Fin</t>
  </si>
  <si>
    <t>Duración</t>
  </si>
  <si>
    <t>% Avance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</si>
  <si>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</si>
  <si>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</si>
  <si>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</si>
  <si>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</si>
  <si>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</si>
  <si>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</si>
  <si>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</si>
  <si>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</si>
  <si>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</si>
  <si>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</si>
  <si>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Período semanal propuesto. Ajustable según calendario oficial del semestre.</t>
  </si>
  <si>
    <t>31/08
06/09</t>
  </si>
  <si>
    <t>07/09
13/09</t>
  </si>
  <si>
    <t>14/09
20/09</t>
  </si>
  <si>
    <t>21/09
27/09</t>
  </si>
  <si>
    <t>28/09
04/10</t>
  </si>
  <si>
    <t>05/10
11/10</t>
  </si>
  <si>
    <t>12/10
18/10</t>
  </si>
  <si>
    <t>19/10
25/10</t>
  </si>
  <si>
    <t>26/10
01/11</t>
  </si>
  <si>
    <t>02/11
08/11</t>
  </si>
  <si>
    <t>Competencia o unidades de competencias</t>
  </si>
  <si>
    <t>Nombre de Actividades/Tareas</t>
  </si>
  <si>
    <t>Descripción Actividades/Tareas</t>
  </si>
  <si>
    <t>Recursos</t>
  </si>
  <si>
    <t>Duración de la actividad</t>
  </si>
  <si>
    <t>Observaciones</t>
  </si>
  <si>
    <t>PROYECTO DE TITULACIÓN – AutonomIA | CARTA GANTT</t>
  </si>
  <si>
    <t>Aplicación Android de apoyo a decisiones para pequeños negocios | Kotlin · Compose · Firebase · IA · GitHub · Figma</t>
  </si>
  <si>
    <t>Planificación</t>
  </si>
  <si>
    <t>Definir alcance, problema, objetivos y requisitos de AutonomIA</t>
  </si>
  <si>
    <t>Documentos APT, GitHub</t>
  </si>
  <si>
    <t>José Oporto y Luciano Sambuceti</t>
  </si>
  <si>
    <t>Diseño</t>
  </si>
  <si>
    <t>Adaptar interfaces y flujo de navegación al nuevo proyecto</t>
  </si>
  <si>
    <t>Figma</t>
  </si>
  <si>
    <t>José Oporto</t>
  </si>
  <si>
    <t>Configuración</t>
  </si>
  <si>
    <t>Mantener y organizar el repositorio del proyecto</t>
  </si>
  <si>
    <t>Luciano Sambuceti</t>
  </si>
  <si>
    <t>Desarrollo base</t>
  </si>
  <si>
    <t>Adaptar estructura Android y navegación principal a AutonomIA</t>
  </si>
  <si>
    <t>Android Studio, Kotlin, Compose</t>
  </si>
  <si>
    <t>Autenticación</t>
  </si>
  <si>
    <t>Completar login, registro, recuperación y sesión de usuario</t>
  </si>
  <si>
    <t>Firebase Authentication, Android Studio</t>
  </si>
  <si>
    <t>Datos</t>
  </si>
  <si>
    <t>Diseñar modelo de datos para usuarios, negocios y movimientos</t>
  </si>
  <si>
    <t>Cloud Firestore, Kotlin</t>
  </si>
  <si>
    <t>Negocio</t>
  </si>
  <si>
    <t>Implementar perfil del negocio y tipo de actividad</t>
  </si>
  <si>
    <t>Android Studio, Firebase</t>
  </si>
  <si>
    <t>Catálogo</t>
  </si>
  <si>
    <t>Implementar productos, servicios, costos, precios y stock</t>
  </si>
  <si>
    <t>Kotlin, Cloud Firestore</t>
  </si>
  <si>
    <t>Ventas</t>
  </si>
  <si>
    <t>Registrar ventas e importar datos desde CSV o Excel</t>
  </si>
  <si>
    <t>Kotlin, selector de archivos</t>
  </si>
  <si>
    <t>Gastos</t>
  </si>
  <si>
    <t>Registrar gastos y generar gastos recurrentes</t>
  </si>
  <si>
    <t>Indicadores</t>
  </si>
  <si>
    <t>Calcular ventas, gastos, ganancias, márgenes y variaciones</t>
  </si>
  <si>
    <t>Android Studio, Kotlin</t>
  </si>
  <si>
    <t>Dashboard</t>
  </si>
  <si>
    <t>Mostrar indicadores y gráficos del negocio</t>
  </si>
  <si>
    <t>Jetpack Compose, librería de gráficos</t>
  </si>
  <si>
    <t>Inteligencia artificial</t>
  </si>
  <si>
    <t>Integrar IA para analizar los indicadores calculados</t>
  </si>
  <si>
    <t>Firebase AI Logic, Gemini</t>
  </si>
  <si>
    <t>Recomendaciones</t>
  </si>
  <si>
    <t>Generar y guardar hasta tres recomendaciones justificadas</t>
  </si>
  <si>
    <t>Kotlin, Gemini, Cloud Firestore</t>
  </si>
  <si>
    <t>Seguimiento</t>
  </si>
  <si>
    <t>Registrar acciones y comparar resultados entre períodos</t>
  </si>
  <si>
    <t>Calidad</t>
  </si>
  <si>
    <t>Realizar pruebas funcionales, de seguridad y corrección de errores</t>
  </si>
  <si>
    <t>Emulador, teléfonos Android, GitHub</t>
  </si>
  <si>
    <t>Documentación</t>
  </si>
  <si>
    <t>Completar informe, evidencias y manual de AutonomIA</t>
  </si>
  <si>
    <t>Word, capturas, GitHub</t>
  </si>
  <si>
    <t>Entrega</t>
  </si>
  <si>
    <t>Preparar demostración y presentación final de AutonomIA</t>
  </si>
  <si>
    <t>PowerPoint, aplicación final</t>
  </si>
  <si>
    <t>PLAN DE TRABAJO – PROYECTO DE TITULACIÓN AutonomIA</t>
  </si>
  <si>
    <t>Integrantes: José Oporto y Luciano Sambuceti | Desarrollo: Android Studio | Metodología: Scrum | IA: Gemini</t>
  </si>
  <si>
    <t>El alcance prioriza un MVP: gestión de datos del negocio, análisis con IA y seguimiento de recomendaciones.</t>
  </si>
  <si>
    <t>Gestión de proyectos informáticos</t>
  </si>
  <si>
    <t>Planificar AutonomIA</t>
  </si>
  <si>
    <t>Definir alcance, objetivos, requisitos y organizar las tareas del equipo.</t>
  </si>
  <si>
    <t>Semana 1</t>
  </si>
  <si>
    <t>Priorizar las funciones esenciales.</t>
  </si>
  <si>
    <t>Diseño de soluciones informáticas</t>
  </si>
  <si>
    <t>Adaptar prototipo Figma</t>
  </si>
  <si>
    <t>Rediseñar las pantallas y el flujo para pequeños negocios.</t>
  </si>
  <si>
    <t>Semanas 1–2</t>
  </si>
  <si>
    <t>Reutilizar los componentes útiles del diseño inicial.</t>
  </si>
  <si>
    <t>Gestión de configuración</t>
  </si>
  <si>
    <t>Organizar repositorio</t>
  </si>
  <si>
    <t>Mantener el código versionado mediante ramas, commits y revisión de cambios.</t>
  </si>
  <si>
    <t>Durante todo el proyecto</t>
  </si>
  <si>
    <t>Repositorio ya creado.</t>
  </si>
  <si>
    <t>Desarrollo de software</t>
  </si>
  <si>
    <t>Adaptar aplicación Android</t>
  </si>
  <si>
    <t>Completar la estructura, navegación y componentes principales de AutonomIA.</t>
  </si>
  <si>
    <t>Android Studio, Kotlin, Jetpack Compose</t>
  </si>
  <si>
    <t>Proyecto Android ya iniciado.</t>
  </si>
  <si>
    <t>Seguridad y autenticación</t>
  </si>
  <si>
    <t>Completar autenticación</t>
  </si>
  <si>
    <t>Implementar login, registro, recuperación de contraseña y gestión de sesión.</t>
  </si>
  <si>
    <t>Autenticación Firebase iniciada.</t>
  </si>
  <si>
    <t>Gestión de datos</t>
  </si>
  <si>
    <t>Diseñar persistencia</t>
  </si>
  <si>
    <t>Guardar usuarios, negocios, productos, ventas, gastos y recomendaciones.</t>
  </si>
  <si>
    <t>Semanas 2–3</t>
  </si>
  <si>
    <t>Aislar la información de cada usuario.</t>
  </si>
  <si>
    <t>Crear perfil y catálogo</t>
  </si>
  <si>
    <t>Permitir configurar el negocio y administrar productos o servicios.</t>
  </si>
  <si>
    <t>Android Studio, Cloud Firestore</t>
  </si>
  <si>
    <t>Semanas 3–5</t>
  </si>
  <si>
    <t>Incluir costos, precios y stock cuando corresponda.</t>
  </si>
  <si>
    <t>Desarrollar ventas y gastos</t>
  </si>
  <si>
    <t>Registrar, editar y consultar ventas, gastos y movimientos recurrentes.</t>
  </si>
  <si>
    <t>Semanas 4–5</t>
  </si>
  <si>
    <t>Funcionalidad principal.</t>
  </si>
  <si>
    <t>Automatización</t>
  </si>
  <si>
    <t>Importar ventas</t>
  </si>
  <si>
    <t>Cargar múltiples ventas desde archivos CSV o Excel y validar sus datos.</t>
  </si>
  <si>
    <t>Selector de archivos, Kotlin</t>
  </si>
  <si>
    <t>Automatización principal del MVP.</t>
  </si>
  <si>
    <t>Análisis de datos</t>
  </si>
  <si>
    <t>Calcular indicadores</t>
  </si>
  <si>
    <t>Calcular ventas, gastos, ganancias, márgenes y variaciones mensuales.</t>
  </si>
  <si>
    <t>Semanas 5–6</t>
  </si>
  <si>
    <t>Los cálculos se realizan antes del análisis de IA.</t>
  </si>
  <si>
    <t>Visualización de datos</t>
  </si>
  <si>
    <t>Crear dashboard</t>
  </si>
  <si>
    <t>Presentar indicadores y gráficos claros sobre la situación del negocio.</t>
  </si>
  <si>
    <t>Semanas 6–7</t>
  </si>
  <si>
    <t>Mantener legibilidad en celulares.</t>
  </si>
  <si>
    <t>Generar análisis y recomendaciones</t>
  </si>
  <si>
    <t>Interpretar los indicadores y entregar hasta tres recomendaciones justificadas.</t>
  </si>
  <si>
    <t>Semanas 6–8</t>
  </si>
  <si>
    <t>La IA no modifica precios ni datos automáticamente.</t>
  </si>
  <si>
    <t>Optimización de procesos</t>
  </si>
  <si>
    <t>Implementar seguimiento</t>
  </si>
  <si>
    <t>Registrar acciones y comparar resultados entre períodos.</t>
  </si>
  <si>
    <t>Semanas 8–9</t>
  </si>
  <si>
    <t>Comprobar si una recomendación produjo mejoras.</t>
  </si>
  <si>
    <t>Aseguramiento de calidad</t>
  </si>
  <si>
    <t>Probar y corregir</t>
  </si>
  <si>
    <t>Ejecutar pruebas funcionales y de seguridad, registrar errores y corregirlos.</t>
  </si>
  <si>
    <t>Semanas 8–10</t>
  </si>
  <si>
    <t>Probar los casos de uso principales.</t>
  </si>
  <si>
    <t>Documentación de proyecto</t>
  </si>
  <si>
    <t>Preparar informe final</t>
  </si>
  <si>
    <t>Documentar metodología, desarrollo, evidencias, resultados y conclusiones.</t>
  </si>
  <si>
    <t>Mantener evidencias de cada etapa.</t>
  </si>
  <si>
    <t>Comunicación profesional</t>
  </si>
  <si>
    <t>Preparar presentación final</t>
  </si>
  <si>
    <t>Preparar y ensayar la demostración de AutonomIA.</t>
  </si>
  <si>
    <t>Semana 10</t>
  </si>
  <si>
    <t>Usar un caso simulado de pequeño negocio.</t>
  </si>
  <si>
    <t xml:space="preserve">1–99%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</si>
</sst>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"/>
    <numFmt numFmtId="165" formatCode="0&quot;%&quot;"/>
  </numFmts>
  <fonts count="15">
    <font>
      <sz val="11"/>
      <name val="Carlito"/>
    </font>
    <font>
      <b/>
      <sz val="16"/>
      <color rgb="FFFFFFFF"/>
      <name val="Carlito"/>
    </font>
    <font>
      <i/>
      <sz val="10"/>
      <color rgb="FF1F2937"/>
      <name val="Carlito"/>
    </font>
    <font>
      <b/>
      <sz val="11"/>
      <color rgb="FF17365D"/>
      <name val="Carlito"/>
    </font>
    <font>
      <sz val="11"/>
      <color rgb="FF1F2937"/>
      <name val="Carlito"/>
    </font>
    <font>
      <b/>
      <sz val="11"/>
      <color rgb="FFFFFFFF"/>
      <name val="Carlito"/>
    </font>
    <font>
      <b/>
      <sz val="11"/>
      <name val="Carlito"/>
    </font>
    <font>
      <b/>
      <sz val="8"/>
      <color rgb="FF17365D"/>
      <name val="Carlito"/>
    </font>
    <font>
      <i/>
      <sz val="9"/>
      <color rgb="FF7F6000"/>
      <name val="Carlito"/>
    </font>
    <font>
      <b/>
      <sz val="11"/>
      <color rgb="FF7F6000"/>
      <name val="Carlito"/>
    </font>
    <font>
      <b/>
      <sz val="11"/>
      <color rgb="FF375623"/>
      <name val="Carlito"/>
    </font>
    <font>
      <b/>
      <sz val="11"/>
      <color rgb="FF44546A"/>
      <name val="Carlito"/>
    </font>
    <font>
      <b/>
      <sz val="15"/>
      <color rgb="FFFFFFFF"/>
      <name val="Carlito"/>
    </font>
    <font>
      <i/>
      <sz val="11"/>
      <color rgb="FF17365D"/>
      <name val="Carlito"/>
    </font>
    <font>
      <b/>
      <sz val="12"/>
      <name val="Carlito"/>
    </font>
  </fonts>
  <fills count="18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DCE6F1"/>
      </patternFill>
    </fill>
    <fill>
      <patternFill patternType="solid">
        <fgColor rgb="FFF8FAFC"/>
      </patternFill>
    </fill>
    <fill>
      <patternFill patternType="solid">
        <fgColor rgb="FFC6E0B4"/>
      </patternFill>
    </fill>
    <fill>
      <patternFill patternType="solid">
        <fgColor rgb="FFFFE699"/>
      </patternFill>
    </fill>
    <fill>
      <patternFill patternType="solid">
        <fgColor rgb="FFD9E1F2"/>
      </patternFill>
    </fill>
    <fill>
      <patternFill patternType="solid">
        <fgColor rgb="FFEAF2F8"/>
      </patternFill>
    </fill>
    <fill>
      <patternFill patternType="solid">
        <fgColor rgb="FFFFFFFF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F3F6F9"/>
      </patternFill>
    </fill>
    <fill>
      <patternFill patternType="solid">
        <fgColor rgb="FFFFFFFF"/>
      </patternFill>
    </fill>
    <fill>
      <patternFill patternType="solid">
        <fgColor rgb="FFFFC000"/>
      </patternFill>
    </fill>
    <fill>
      <patternFill patternType="solid">
        <fgColor rgb="FF70AD47"/>
      </patternFill>
    </fill>
    <fill>
      <patternFill patternType="solid">
        <fgColor rgb="FF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3" fillId="4" borderId="0" xfId="0" applyFont="1" applyFill="1" applyAlignment="1">
      <alignment vertical="center"/>
    </xf>
    <xf numFmtId="0" fontId="4" fillId="5" borderId="0" xfId="0" applyFont="1" applyFill="1" applyAlignment="1">
      <alignment vertical="center" wrapText="1"/>
    </xf>
    <xf numFmtId="164" fontId="4" fillId="5" borderId="0" xfId="0" applyNumberFormat="1" applyFont="1" applyFill="1" applyAlignment="1">
      <alignment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7" fillId="9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9" fillId="7" borderId="0" xfId="0" applyFont="1" applyFill="1" applyAlignment="1">
      <alignment horizontal="center" vertical="center" wrapText="1"/>
    </xf>
    <xf numFmtId="0" fontId="0" fillId="5" borderId="0" xfId="0" applyFill="1" applyAlignment="1">
      <alignment vertical="center" wrapText="1"/>
    </xf>
    <xf numFmtId="0" fontId="10" fillId="6" borderId="0" xfId="0" applyFont="1" applyFill="1" applyAlignment="1">
      <alignment horizontal="center" vertical="center" wrapText="1"/>
    </xf>
    <xf numFmtId="0" fontId="11" fillId="8" borderId="0" xfId="0" applyFont="1" applyFill="1" applyAlignment="1">
      <alignment horizontal="center" vertical="center" wrapText="1"/>
    </xf>
    <xf numFmtId="165" fontId="6" fillId="13" borderId="0" xfId="0" applyNumberFormat="1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5" borderId="0" xfId="0" applyFill="1" applyAlignment="1">
      <alignment vertical="top" wrapText="1"/>
    </xf>
    <xf numFmtId="0" fontId="10" fillId="6" borderId="0" xfId="0" applyFont="1" applyFill="1" applyAlignment="1">
      <alignment wrapText="1"/>
    </xf>
    <xf numFmtId="0" fontId="9" fillId="7" borderId="0" xfId="0" applyFont="1" applyFill="1" applyAlignment="1">
      <alignment wrapText="1"/>
    </xf>
    <xf numFmtId="0" fontId="11" fillId="8" borderId="0" xfId="0" applyFont="1" applyFill="1" applyAlignment="1">
      <alignment wrapText="1"/>
    </xf>
    <xf numFmtId="0" fontId="5" fillId="14" borderId="0" xfId="0" applyFont="1" applyFill="1" applyAlignment="1">
      <alignment horizontal="center" vertical="center" wrapText="1"/>
    </xf>
    <xf numFmtId="0" fontId="5" fillId="15" borderId="0" xfId="0" applyFont="1" applyFill="1" applyAlignment="1">
      <alignment horizontal="center" vertical="center" wrapText="1"/>
    </xf>
    <xf numFmtId="0" fontId="5" fillId="16" borderId="0" xfId="0" applyFont="1" applyFill="1" applyAlignment="1">
      <alignment horizontal="center" vertical="center" wrapText="1"/>
    </xf>
    <xf numFmtId="0" fontId="5" fillId="17" borderId="0" xfId="0" applyFont="1" applyFill="1" applyAlignment="1">
      <alignment horizontal="center" vertical="center" wrapText="1"/>
    </xf>
    <xf numFmtId="0" fontId="8" fillId="12" borderId="0" xfId="0" applyFont="1" applyFill="1" applyAlignment="1">
      <alignment vertical="center"/>
    </xf>
    <xf numFmtId="0" fontId="8" fillId="12" borderId="0" xfId="0" applyFont="1" applyFill="1" applyAlignment="1">
      <alignment vertical="center" wrapText="1"/>
    </xf>
    <xf numFmtId="0" fontId="0" fillId="10" borderId="0" xfId="0" applyFill="1" applyAlignment="1">
      <alignment vertical="center" wrapText="1"/>
    </xf>
    <xf numFmtId="0" fontId="3" fillId="9" borderId="0" xfId="0" applyFont="1" applyFill="1"/>
    <xf numFmtId="9" fontId="3" fillId="9" borderId="0" xfId="0" applyNumberFormat="1" applyFont="1" applyFill="1"/>
    <xf numFmtId="9" fontId="14" fillId="10" borderId="0" xfId="0" applyNumberFormat="1" applyFont="1" applyFill="1" applyAlignment="1">
      <alignment horizontal="center"/>
    </xf>
    <xf numFmtId="0" fontId="0" fillId="0" borderId="0" xfId="0"/>
    <xf numFmtId="0" fontId="14" fillId="10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/>
    </xf>
    <xf numFmtId="0" fontId="5" fillId="11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3" fillId="3" borderId="0" xfId="0" applyFont="1" applyFill="1" applyAlignment="1">
      <alignment horizontal="center"/>
    </xf>
    <xf numFmtId="0" fontId="8" fillId="12" borderId="0" xfId="0" applyFont="1" applyFill="1" applyAlignment="1">
      <alignment wrapText="1"/>
    </xf>
    <xf numFmtId="9" fontId="0" fillId="10" borderId="0" xfId="0" applyNumberForma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lanTrabajoTable" displayName="PlanTrabajoTable" ref="A5:G21" totalsRowShown="0">
  <tableColumns count="7">
    <tableColumn id="1" xr3:uid="{00000000-0010-0000-0000-000001000000}" name="Competencia o unidades de competencias"/>
    <tableColumn id="2" xr3:uid="{00000000-0010-0000-0000-000002000000}" name="Nombre de Actividades/Tareas"/>
    <tableColumn id="3" xr3:uid="{00000000-0010-0000-0000-000003000000}" name="Descripción Actividades/Tareas"/>
    <tableColumn id="4" xr3:uid="{00000000-0010-0000-0000-000004000000}" name="Recursos"/>
    <tableColumn id="5" xr3:uid="{00000000-0010-0000-0000-000005000000}" name="Duración de la actividad"/>
    <tableColumn id="6" xr3:uid="{00000000-0010-0000-0000-000006000000}" name="Responsable"/>
    <tableColumn id="7" xr3:uid="{00000000-0010-0000-0000-000007000000}" name="Observacion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0"/>
  <sheetViews>
    <sheetView tabSelected="1" topLeftCell="C1" workbookViewId="0">
      <selection activeCell="O9" sqref="O9"/>
    </sheetView>
  </sheetViews>
  <sheetFormatPr defaultColWidth="8.625" defaultRowHeight="14.25"/>
  <cols>
    <col min="1" max="1" width="13" customWidth="1"/>
    <col min="2" max="2" width="14" customWidth="1"/>
    <col min="3" max="3" width="38" customWidth="1"/>
    <col min="4" max="4" width="27" customWidth="1"/>
    <col min="5" max="5" width="28" customWidth="1"/>
    <col min="6" max="6" width="13" customWidth="1"/>
    <col min="7" max="7" width="8" customWidth="1"/>
    <col min="8" max="8" width="13" customWidth="1"/>
    <col min="9" max="9" width="9" customWidth="1"/>
    <col min="10" max="10" width="10" customWidth="1"/>
    <col min="11" max="20" width="8" customWidth="1"/>
  </cols>
  <sheetData>
    <row r="1" spans="1:20" ht="20.100000000000001" customHeight="1">
      <c r="A1" s="30" t="s">
        <v>64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0" ht="14.65" customHeight="1">
      <c r="A2" s="31" t="s">
        <v>65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</row>
    <row r="4" spans="1:20" ht="42.75">
      <c r="A4" s="1" t="s">
        <v>0</v>
      </c>
      <c r="B4" s="2" t="s">
        <v>1</v>
      </c>
      <c r="C4" s="1" t="s">
        <v>2</v>
      </c>
      <c r="D4" s="2" t="s">
        <v>3</v>
      </c>
      <c r="E4" s="1" t="s">
        <v>4</v>
      </c>
      <c r="F4" s="3">
        <v>46265</v>
      </c>
      <c r="H4" s="32" t="s">
        <v>5</v>
      </c>
      <c r="I4" s="32"/>
      <c r="J4" s="32"/>
      <c r="L4" s="32" t="s">
        <v>6</v>
      </c>
      <c r="M4" s="32"/>
      <c r="N4" s="32"/>
      <c r="O4" s="32"/>
      <c r="P4" s="32"/>
      <c r="Q4" s="32"/>
      <c r="R4" s="32"/>
      <c r="S4" s="32"/>
      <c r="T4" s="32"/>
    </row>
    <row r="5" spans="1:20" ht="15.75">
      <c r="A5" s="1" t="s">
        <v>7</v>
      </c>
      <c r="B5" s="2" t="s">
        <v>8</v>
      </c>
      <c r="C5" s="1" t="s">
        <v>9</v>
      </c>
      <c r="D5" s="2" t="s">
        <v>10</v>
      </c>
      <c r="E5" s="1" t="s">
        <v>11</v>
      </c>
      <c r="F5" s="3">
        <v>46334</v>
      </c>
      <c r="H5" s="15" t="s">
        <v>12</v>
      </c>
      <c r="I5" s="37">
        <v>1</v>
      </c>
      <c r="J5" s="24"/>
      <c r="L5" s="25" t="s">
        <v>13</v>
      </c>
      <c r="M5" s="26"/>
      <c r="N5" s="25"/>
      <c r="O5" s="25"/>
      <c r="P5" s="25"/>
      <c r="Q5" s="25"/>
      <c r="R5" s="27">
        <f>AVERAGE(J11:J28)/100</f>
        <v>0.15833333333333333</v>
      </c>
      <c r="S5" s="28"/>
      <c r="T5" s="28"/>
    </row>
    <row r="6" spans="1:20" ht="28.5">
      <c r="A6" s="1" t="s">
        <v>14</v>
      </c>
      <c r="B6" s="2" t="s">
        <v>15</v>
      </c>
      <c r="C6" s="1" t="s">
        <v>16</v>
      </c>
      <c r="D6" s="2" t="s">
        <v>17</v>
      </c>
      <c r="E6" s="1" t="s">
        <v>18</v>
      </c>
      <c r="F6" s="2" t="s">
        <v>19</v>
      </c>
      <c r="H6" s="16" t="s">
        <v>20</v>
      </c>
      <c r="I6" s="24" t="s">
        <v>199</v>
      </c>
      <c r="J6" s="24"/>
      <c r="L6" s="25" t="s">
        <v>21</v>
      </c>
      <c r="M6" s="25"/>
      <c r="N6" s="25"/>
      <c r="O6" s="25"/>
      <c r="P6" s="25"/>
      <c r="Q6" s="25"/>
      <c r="R6" s="29">
        <f>COUNTIF(F11:F28,"Completado")</f>
        <v>1</v>
      </c>
      <c r="S6" s="29"/>
      <c r="T6" s="29"/>
    </row>
    <row r="7" spans="1:20" ht="15.75">
      <c r="H7" s="17" t="s">
        <v>22</v>
      </c>
      <c r="I7" s="37">
        <v>0</v>
      </c>
      <c r="J7" s="24"/>
      <c r="L7" s="25" t="s">
        <v>23</v>
      </c>
      <c r="M7" s="25"/>
      <c r="N7" s="25"/>
      <c r="O7" s="25"/>
      <c r="P7" s="25"/>
      <c r="Q7" s="25"/>
      <c r="R7" s="29">
        <f>COUNTIF(F11:F28,"En curso")</f>
        <v>4</v>
      </c>
      <c r="S7" s="29"/>
      <c r="T7" s="29"/>
    </row>
    <row r="8" spans="1:20" ht="15.95" customHeight="1">
      <c r="K8" s="33" t="s">
        <v>24</v>
      </c>
      <c r="L8" s="33"/>
      <c r="M8" s="33"/>
      <c r="N8" s="33"/>
      <c r="O8" s="33" t="s">
        <v>25</v>
      </c>
      <c r="P8" s="33"/>
      <c r="Q8" s="33"/>
      <c r="R8" s="33"/>
      <c r="S8" s="33" t="s">
        <v>26</v>
      </c>
      <c r="T8" s="33"/>
    </row>
    <row r="9" spans="1:20" ht="15.95" customHeight="1">
      <c r="A9" s="4" t="s">
        <v>27</v>
      </c>
      <c r="B9" s="4" t="s">
        <v>28</v>
      </c>
      <c r="C9" s="4" t="s">
        <v>29</v>
      </c>
      <c r="D9" s="4" t="s">
        <v>30</v>
      </c>
      <c r="E9" s="4" t="s">
        <v>31</v>
      </c>
      <c r="F9" s="4" t="s">
        <v>32</v>
      </c>
      <c r="G9" s="4" t="s">
        <v>33</v>
      </c>
      <c r="H9" s="4" t="s">
        <v>34</v>
      </c>
      <c r="I9" s="4" t="s">
        <v>35</v>
      </c>
      <c r="J9" s="4" t="s">
        <v>36</v>
      </c>
      <c r="K9" s="5" t="s">
        <v>37</v>
      </c>
      <c r="L9" s="5" t="s">
        <v>38</v>
      </c>
      <c r="M9" s="5" t="s">
        <v>39</v>
      </c>
      <c r="N9" s="5" t="s">
        <v>40</v>
      </c>
      <c r="O9" s="5" t="s">
        <v>41</v>
      </c>
      <c r="P9" s="5" t="s">
        <v>42</v>
      </c>
      <c r="Q9" s="5" t="s">
        <v>43</v>
      </c>
      <c r="R9" s="5" t="s">
        <v>44</v>
      </c>
      <c r="S9" s="5" t="s">
        <v>45</v>
      </c>
      <c r="T9" s="5" t="s">
        <v>46</v>
      </c>
    </row>
    <row r="10" spans="1:20" ht="15.95" customHeight="1">
      <c r="A10" s="22" t="s">
        <v>47</v>
      </c>
      <c r="B10" s="22"/>
      <c r="C10" s="22"/>
      <c r="D10" s="22"/>
      <c r="E10" s="22"/>
      <c r="F10" s="22"/>
      <c r="G10" s="22"/>
      <c r="H10" s="22"/>
      <c r="I10" s="22"/>
      <c r="J10" s="22"/>
      <c r="K10" s="6" t="s">
        <v>48</v>
      </c>
      <c r="L10" s="6" t="s">
        <v>49</v>
      </c>
      <c r="M10" s="6" t="s">
        <v>50</v>
      </c>
      <c r="N10" s="6" t="s">
        <v>51</v>
      </c>
      <c r="O10" s="6" t="s">
        <v>52</v>
      </c>
      <c r="P10" s="6" t="s">
        <v>53</v>
      </c>
      <c r="Q10" s="6" t="s">
        <v>54</v>
      </c>
      <c r="R10" s="6" t="s">
        <v>55</v>
      </c>
      <c r="S10" s="6" t="s">
        <v>56</v>
      </c>
      <c r="T10" s="6" t="s">
        <v>57</v>
      </c>
    </row>
    <row r="11" spans="1:20" ht="22.7" customHeight="1">
      <c r="A11" s="7">
        <v>1</v>
      </c>
      <c r="B11" s="7" t="s">
        <v>66</v>
      </c>
      <c r="C11" s="7" t="s">
        <v>67</v>
      </c>
      <c r="D11" s="7" t="s">
        <v>68</v>
      </c>
      <c r="E11" s="7" t="s">
        <v>69</v>
      </c>
      <c r="F11" s="8" t="s">
        <v>20</v>
      </c>
      <c r="G11" s="7">
        <v>1</v>
      </c>
      <c r="H11" s="7">
        <v>1</v>
      </c>
      <c r="I11" s="7">
        <f t="shared" ref="I11:I28" si="0">H11-G11+1</f>
        <v>1</v>
      </c>
      <c r="J11" s="12">
        <v>70</v>
      </c>
      <c r="K11" s="19" t="str">
        <f t="shared" ref="K11:T20" si="1">IF(AND(COLUMN()-10&gt;=$G11,COLUMN()-10&lt;=$H11),"●","")</f>
        <v>●</v>
      </c>
      <c r="L11" s="18" t="str">
        <f t="shared" si="1"/>
        <v/>
      </c>
      <c r="M11" s="18" t="str">
        <f t="shared" si="1"/>
        <v/>
      </c>
      <c r="N11" s="18" t="str">
        <f t="shared" si="1"/>
        <v/>
      </c>
      <c r="O11" s="18" t="str">
        <f t="shared" si="1"/>
        <v/>
      </c>
      <c r="P11" s="18" t="str">
        <f t="shared" si="1"/>
        <v/>
      </c>
      <c r="Q11" s="18" t="str">
        <f t="shared" si="1"/>
        <v/>
      </c>
      <c r="R11" s="18" t="str">
        <f t="shared" si="1"/>
        <v/>
      </c>
      <c r="S11" s="18" t="str">
        <f t="shared" si="1"/>
        <v/>
      </c>
      <c r="T11" s="18" t="str">
        <f t="shared" si="1"/>
        <v/>
      </c>
    </row>
    <row r="12" spans="1:20" ht="22.7" customHeight="1">
      <c r="A12" s="9">
        <v>2</v>
      </c>
      <c r="B12" s="9" t="s">
        <v>70</v>
      </c>
      <c r="C12" s="9" t="s">
        <v>71</v>
      </c>
      <c r="D12" s="9" t="s">
        <v>72</v>
      </c>
      <c r="E12" s="9" t="s">
        <v>73</v>
      </c>
      <c r="F12" s="10" t="s">
        <v>20</v>
      </c>
      <c r="G12" s="9">
        <v>1</v>
      </c>
      <c r="H12" s="9">
        <v>2</v>
      </c>
      <c r="I12" s="9">
        <f t="shared" si="0"/>
        <v>2</v>
      </c>
      <c r="J12" s="12">
        <v>30</v>
      </c>
      <c r="K12" s="19" t="str">
        <f t="shared" si="1"/>
        <v>●</v>
      </c>
      <c r="L12" s="19" t="str">
        <f t="shared" si="1"/>
        <v>●</v>
      </c>
      <c r="M12" s="18" t="str">
        <f t="shared" si="1"/>
        <v/>
      </c>
      <c r="N12" s="18" t="str">
        <f t="shared" si="1"/>
        <v/>
      </c>
      <c r="O12" s="18" t="str">
        <f t="shared" si="1"/>
        <v/>
      </c>
      <c r="P12" s="18" t="str">
        <f t="shared" si="1"/>
        <v/>
      </c>
      <c r="Q12" s="18" t="str">
        <f t="shared" si="1"/>
        <v/>
      </c>
      <c r="R12" s="18" t="str">
        <f t="shared" si="1"/>
        <v/>
      </c>
      <c r="S12" s="18" t="str">
        <f t="shared" si="1"/>
        <v/>
      </c>
      <c r="T12" s="18" t="str">
        <f t="shared" si="1"/>
        <v/>
      </c>
    </row>
    <row r="13" spans="1:20" ht="22.7" customHeight="1">
      <c r="A13" s="7">
        <v>3</v>
      </c>
      <c r="B13" s="7" t="s">
        <v>74</v>
      </c>
      <c r="C13" s="7" t="s">
        <v>75</v>
      </c>
      <c r="D13" s="7" t="s">
        <v>17</v>
      </c>
      <c r="E13" s="7" t="s">
        <v>76</v>
      </c>
      <c r="F13" s="10" t="s">
        <v>12</v>
      </c>
      <c r="G13" s="7">
        <v>1</v>
      </c>
      <c r="H13" s="7">
        <v>1</v>
      </c>
      <c r="I13" s="7">
        <f t="shared" si="0"/>
        <v>1</v>
      </c>
      <c r="J13" s="12">
        <v>100</v>
      </c>
      <c r="K13" s="20" t="str">
        <f t="shared" si="1"/>
        <v>●</v>
      </c>
      <c r="L13" s="18" t="str">
        <f t="shared" si="1"/>
        <v/>
      </c>
      <c r="M13" s="18" t="str">
        <f t="shared" si="1"/>
        <v/>
      </c>
      <c r="N13" s="18" t="str">
        <f t="shared" si="1"/>
        <v/>
      </c>
      <c r="O13" s="18" t="str">
        <f t="shared" si="1"/>
        <v/>
      </c>
      <c r="P13" s="18" t="str">
        <f t="shared" si="1"/>
        <v/>
      </c>
      <c r="Q13" s="18" t="str">
        <f t="shared" si="1"/>
        <v/>
      </c>
      <c r="R13" s="18" t="str">
        <f t="shared" si="1"/>
        <v/>
      </c>
      <c r="S13" s="18" t="str">
        <f t="shared" si="1"/>
        <v/>
      </c>
      <c r="T13" s="18" t="str">
        <f t="shared" si="1"/>
        <v/>
      </c>
    </row>
    <row r="14" spans="1:20" ht="22.7" customHeight="1">
      <c r="A14" s="9">
        <v>4</v>
      </c>
      <c r="B14" s="9" t="s">
        <v>77</v>
      </c>
      <c r="C14" s="9" t="s">
        <v>78</v>
      </c>
      <c r="D14" s="9" t="s">
        <v>79</v>
      </c>
      <c r="E14" s="9" t="s">
        <v>69</v>
      </c>
      <c r="F14" s="8" t="s">
        <v>20</v>
      </c>
      <c r="G14" s="9">
        <v>1</v>
      </c>
      <c r="H14" s="9">
        <v>2</v>
      </c>
      <c r="I14" s="9">
        <f t="shared" si="0"/>
        <v>2</v>
      </c>
      <c r="J14" s="12">
        <v>40</v>
      </c>
      <c r="K14" s="19" t="str">
        <f t="shared" si="1"/>
        <v>●</v>
      </c>
      <c r="L14" s="19" t="str">
        <f t="shared" si="1"/>
        <v>●</v>
      </c>
      <c r="M14" s="18" t="str">
        <f t="shared" si="1"/>
        <v/>
      </c>
      <c r="N14" s="18" t="str">
        <f t="shared" si="1"/>
        <v/>
      </c>
      <c r="O14" s="18" t="str">
        <f t="shared" si="1"/>
        <v/>
      </c>
      <c r="P14" s="18" t="str">
        <f t="shared" si="1"/>
        <v/>
      </c>
      <c r="Q14" s="18" t="str">
        <f t="shared" si="1"/>
        <v/>
      </c>
      <c r="R14" s="18" t="str">
        <f t="shared" si="1"/>
        <v/>
      </c>
      <c r="S14" s="18" t="str">
        <f t="shared" si="1"/>
        <v/>
      </c>
      <c r="T14" s="18" t="str">
        <f t="shared" si="1"/>
        <v/>
      </c>
    </row>
    <row r="15" spans="1:20" ht="22.7" customHeight="1">
      <c r="A15" s="7">
        <v>5</v>
      </c>
      <c r="B15" s="7" t="s">
        <v>80</v>
      </c>
      <c r="C15" s="7" t="s">
        <v>81</v>
      </c>
      <c r="D15" s="7" t="s">
        <v>82</v>
      </c>
      <c r="E15" s="7" t="s">
        <v>69</v>
      </c>
      <c r="F15" s="8" t="s">
        <v>20</v>
      </c>
      <c r="G15" s="7">
        <v>1</v>
      </c>
      <c r="H15" s="7">
        <v>2</v>
      </c>
      <c r="I15" s="7">
        <f t="shared" si="0"/>
        <v>2</v>
      </c>
      <c r="J15" s="12">
        <v>45</v>
      </c>
      <c r="K15" s="19" t="str">
        <f t="shared" si="1"/>
        <v>●</v>
      </c>
      <c r="L15" s="19" t="str">
        <f t="shared" si="1"/>
        <v>●</v>
      </c>
      <c r="M15" s="18" t="str">
        <f t="shared" si="1"/>
        <v/>
      </c>
      <c r="N15" s="18" t="str">
        <f t="shared" si="1"/>
        <v/>
      </c>
      <c r="O15" s="18" t="str">
        <f t="shared" si="1"/>
        <v/>
      </c>
      <c r="P15" s="18" t="str">
        <f t="shared" si="1"/>
        <v/>
      </c>
      <c r="Q15" s="18" t="str">
        <f t="shared" si="1"/>
        <v/>
      </c>
      <c r="R15" s="18" t="str">
        <f t="shared" si="1"/>
        <v/>
      </c>
      <c r="S15" s="18" t="str">
        <f t="shared" si="1"/>
        <v/>
      </c>
      <c r="T15" s="18" t="str">
        <f t="shared" si="1"/>
        <v/>
      </c>
    </row>
    <row r="16" spans="1:20" ht="22.7" customHeight="1">
      <c r="A16" s="9">
        <v>6</v>
      </c>
      <c r="B16" s="9" t="s">
        <v>83</v>
      </c>
      <c r="C16" s="9" t="s">
        <v>84</v>
      </c>
      <c r="D16" s="9" t="s">
        <v>85</v>
      </c>
      <c r="E16" s="9" t="s">
        <v>76</v>
      </c>
      <c r="F16" s="11" t="s">
        <v>22</v>
      </c>
      <c r="G16" s="9">
        <v>2</v>
      </c>
      <c r="H16" s="9">
        <v>3</v>
      </c>
      <c r="I16" s="9">
        <f t="shared" si="0"/>
        <v>2</v>
      </c>
      <c r="J16" s="12">
        <v>0</v>
      </c>
      <c r="K16" s="18" t="str">
        <f t="shared" si="1"/>
        <v/>
      </c>
      <c r="L16" s="21" t="str">
        <f t="shared" si="1"/>
        <v>●</v>
      </c>
      <c r="M16" s="21" t="str">
        <f t="shared" si="1"/>
        <v>●</v>
      </c>
      <c r="N16" s="18" t="str">
        <f t="shared" si="1"/>
        <v/>
      </c>
      <c r="O16" s="18" t="str">
        <f t="shared" si="1"/>
        <v/>
      </c>
      <c r="P16" s="18" t="str">
        <f t="shared" si="1"/>
        <v/>
      </c>
      <c r="Q16" s="18" t="str">
        <f t="shared" si="1"/>
        <v/>
      </c>
      <c r="R16" s="18" t="str">
        <f t="shared" si="1"/>
        <v/>
      </c>
      <c r="S16" s="18" t="str">
        <f t="shared" si="1"/>
        <v/>
      </c>
      <c r="T16" s="18" t="str">
        <f t="shared" si="1"/>
        <v/>
      </c>
    </row>
    <row r="17" spans="1:20" ht="22.7" customHeight="1">
      <c r="A17" s="7">
        <v>7</v>
      </c>
      <c r="B17" s="7" t="s">
        <v>86</v>
      </c>
      <c r="C17" s="7" t="s">
        <v>87</v>
      </c>
      <c r="D17" s="7" t="s">
        <v>88</v>
      </c>
      <c r="E17" s="7" t="s">
        <v>73</v>
      </c>
      <c r="F17" s="11" t="s">
        <v>22</v>
      </c>
      <c r="G17" s="7">
        <v>3</v>
      </c>
      <c r="H17" s="7">
        <v>4</v>
      </c>
      <c r="I17" s="7">
        <f t="shared" si="0"/>
        <v>2</v>
      </c>
      <c r="J17" s="12">
        <v>0</v>
      </c>
      <c r="K17" s="18" t="str">
        <f t="shared" si="1"/>
        <v/>
      </c>
      <c r="L17" s="18" t="str">
        <f t="shared" si="1"/>
        <v/>
      </c>
      <c r="M17" s="21" t="str">
        <f t="shared" si="1"/>
        <v>●</v>
      </c>
      <c r="N17" s="21" t="str">
        <f t="shared" si="1"/>
        <v>●</v>
      </c>
      <c r="O17" s="18" t="str">
        <f t="shared" si="1"/>
        <v/>
      </c>
      <c r="P17" s="18" t="str">
        <f t="shared" si="1"/>
        <v/>
      </c>
      <c r="Q17" s="18" t="str">
        <f t="shared" si="1"/>
        <v/>
      </c>
      <c r="R17" s="18" t="str">
        <f t="shared" si="1"/>
        <v/>
      </c>
      <c r="S17" s="18" t="str">
        <f t="shared" si="1"/>
        <v/>
      </c>
      <c r="T17" s="18" t="str">
        <f t="shared" si="1"/>
        <v/>
      </c>
    </row>
    <row r="18" spans="1:20" ht="22.7" customHeight="1">
      <c r="A18" s="9">
        <v>8</v>
      </c>
      <c r="B18" s="9" t="s">
        <v>89</v>
      </c>
      <c r="C18" s="9" t="s">
        <v>90</v>
      </c>
      <c r="D18" s="9" t="s">
        <v>91</v>
      </c>
      <c r="E18" s="9" t="s">
        <v>73</v>
      </c>
      <c r="F18" s="11" t="s">
        <v>22</v>
      </c>
      <c r="G18" s="9">
        <v>3</v>
      </c>
      <c r="H18" s="9">
        <v>5</v>
      </c>
      <c r="I18" s="9">
        <f t="shared" si="0"/>
        <v>3</v>
      </c>
      <c r="J18" s="12">
        <v>0</v>
      </c>
      <c r="K18" s="18" t="str">
        <f t="shared" si="1"/>
        <v/>
      </c>
      <c r="L18" s="18" t="str">
        <f t="shared" si="1"/>
        <v/>
      </c>
      <c r="M18" s="21" t="str">
        <f t="shared" si="1"/>
        <v>●</v>
      </c>
      <c r="N18" s="21" t="str">
        <f t="shared" si="1"/>
        <v>●</v>
      </c>
      <c r="O18" s="21" t="str">
        <f t="shared" si="1"/>
        <v>●</v>
      </c>
      <c r="P18" s="18" t="str">
        <f t="shared" si="1"/>
        <v/>
      </c>
      <c r="Q18" s="18" t="str">
        <f t="shared" si="1"/>
        <v/>
      </c>
      <c r="R18" s="18" t="str">
        <f t="shared" si="1"/>
        <v/>
      </c>
      <c r="S18" s="18" t="str">
        <f t="shared" si="1"/>
        <v/>
      </c>
      <c r="T18" s="18" t="str">
        <f t="shared" si="1"/>
        <v/>
      </c>
    </row>
    <row r="19" spans="1:20" ht="22.7" customHeight="1">
      <c r="A19" s="7">
        <v>9</v>
      </c>
      <c r="B19" s="7" t="s">
        <v>92</v>
      </c>
      <c r="C19" s="7" t="s">
        <v>93</v>
      </c>
      <c r="D19" s="7" t="s">
        <v>94</v>
      </c>
      <c r="E19" s="7" t="s">
        <v>76</v>
      </c>
      <c r="F19" s="11" t="s">
        <v>22</v>
      </c>
      <c r="G19" s="7">
        <v>4</v>
      </c>
      <c r="H19" s="7">
        <v>5</v>
      </c>
      <c r="I19" s="7">
        <f t="shared" si="0"/>
        <v>2</v>
      </c>
      <c r="J19" s="12">
        <v>0</v>
      </c>
      <c r="K19" s="18" t="str">
        <f t="shared" si="1"/>
        <v/>
      </c>
      <c r="L19" s="18" t="str">
        <f t="shared" si="1"/>
        <v/>
      </c>
      <c r="M19" s="18" t="str">
        <f t="shared" si="1"/>
        <v/>
      </c>
      <c r="N19" s="21" t="str">
        <f t="shared" si="1"/>
        <v>●</v>
      </c>
      <c r="O19" s="21" t="str">
        <f t="shared" si="1"/>
        <v>●</v>
      </c>
      <c r="P19" s="18" t="str">
        <f t="shared" si="1"/>
        <v/>
      </c>
      <c r="Q19" s="18" t="str">
        <f t="shared" si="1"/>
        <v/>
      </c>
      <c r="R19" s="18" t="str">
        <f t="shared" si="1"/>
        <v/>
      </c>
      <c r="S19" s="18" t="str">
        <f t="shared" si="1"/>
        <v/>
      </c>
      <c r="T19" s="18" t="str">
        <f t="shared" si="1"/>
        <v/>
      </c>
    </row>
    <row r="20" spans="1:20" ht="22.7" customHeight="1">
      <c r="A20" s="9">
        <v>10</v>
      </c>
      <c r="B20" s="9" t="s">
        <v>95</v>
      </c>
      <c r="C20" s="9" t="s">
        <v>96</v>
      </c>
      <c r="D20" s="9" t="s">
        <v>91</v>
      </c>
      <c r="E20" s="9" t="s">
        <v>76</v>
      </c>
      <c r="F20" s="11" t="s">
        <v>22</v>
      </c>
      <c r="G20" s="9">
        <v>4</v>
      </c>
      <c r="H20" s="9">
        <v>5</v>
      </c>
      <c r="I20" s="9">
        <f t="shared" si="0"/>
        <v>2</v>
      </c>
      <c r="J20" s="12">
        <v>0</v>
      </c>
      <c r="K20" s="18" t="str">
        <f t="shared" si="1"/>
        <v/>
      </c>
      <c r="L20" s="18" t="str">
        <f t="shared" si="1"/>
        <v/>
      </c>
      <c r="M20" s="18" t="str">
        <f t="shared" si="1"/>
        <v/>
      </c>
      <c r="N20" s="21" t="str">
        <f t="shared" si="1"/>
        <v>●</v>
      </c>
      <c r="O20" s="21" t="str">
        <f t="shared" si="1"/>
        <v>●</v>
      </c>
      <c r="P20" s="18" t="str">
        <f t="shared" si="1"/>
        <v/>
      </c>
      <c r="Q20" s="18" t="str">
        <f t="shared" si="1"/>
        <v/>
      </c>
      <c r="R20" s="18" t="str">
        <f t="shared" si="1"/>
        <v/>
      </c>
      <c r="S20" s="18" t="str">
        <f t="shared" si="1"/>
        <v/>
      </c>
      <c r="T20" s="18" t="str">
        <f t="shared" si="1"/>
        <v/>
      </c>
    </row>
    <row r="21" spans="1:20" ht="22.7" customHeight="1">
      <c r="A21" s="7">
        <v>11</v>
      </c>
      <c r="B21" s="7" t="s">
        <v>97</v>
      </c>
      <c r="C21" s="7" t="s">
        <v>98</v>
      </c>
      <c r="D21" s="7" t="s">
        <v>99</v>
      </c>
      <c r="E21" s="7" t="s">
        <v>73</v>
      </c>
      <c r="F21" s="11" t="s">
        <v>22</v>
      </c>
      <c r="G21" s="7">
        <v>5</v>
      </c>
      <c r="H21" s="7">
        <v>6</v>
      </c>
      <c r="I21" s="7">
        <f t="shared" si="0"/>
        <v>2</v>
      </c>
      <c r="J21" s="12">
        <v>0</v>
      </c>
      <c r="K21" s="18" t="str">
        <f t="shared" ref="K21:T28" si="2">IF(AND(COLUMN()-10&gt;=$G21,COLUMN()-10&lt;=$H21),"●","")</f>
        <v/>
      </c>
      <c r="L21" s="18" t="str">
        <f t="shared" si="2"/>
        <v/>
      </c>
      <c r="M21" s="18" t="str">
        <f t="shared" si="2"/>
        <v/>
      </c>
      <c r="N21" s="18" t="str">
        <f t="shared" si="2"/>
        <v/>
      </c>
      <c r="O21" s="21" t="str">
        <f t="shared" si="2"/>
        <v>●</v>
      </c>
      <c r="P21" s="21" t="str">
        <f t="shared" si="2"/>
        <v>●</v>
      </c>
      <c r="Q21" s="18" t="str">
        <f t="shared" si="2"/>
        <v/>
      </c>
      <c r="R21" s="18" t="str">
        <f t="shared" si="2"/>
        <v/>
      </c>
      <c r="S21" s="18" t="str">
        <f t="shared" si="2"/>
        <v/>
      </c>
      <c r="T21" s="18" t="str">
        <f t="shared" si="2"/>
        <v/>
      </c>
    </row>
    <row r="22" spans="1:20" ht="22.7" customHeight="1">
      <c r="A22" s="9">
        <v>12</v>
      </c>
      <c r="B22" s="9" t="s">
        <v>100</v>
      </c>
      <c r="C22" s="9" t="s">
        <v>101</v>
      </c>
      <c r="D22" s="9" t="s">
        <v>102</v>
      </c>
      <c r="E22" s="9" t="s">
        <v>73</v>
      </c>
      <c r="F22" s="11" t="s">
        <v>22</v>
      </c>
      <c r="G22" s="9">
        <v>6</v>
      </c>
      <c r="H22" s="9">
        <v>7</v>
      </c>
      <c r="I22" s="9">
        <f t="shared" si="0"/>
        <v>2</v>
      </c>
      <c r="J22" s="12">
        <v>0</v>
      </c>
      <c r="K22" s="18" t="str">
        <f t="shared" si="2"/>
        <v/>
      </c>
      <c r="L22" s="18" t="str">
        <f t="shared" si="2"/>
        <v/>
      </c>
      <c r="M22" s="18" t="str">
        <f t="shared" si="2"/>
        <v/>
      </c>
      <c r="N22" s="18" t="str">
        <f t="shared" si="2"/>
        <v/>
      </c>
      <c r="O22" s="18" t="str">
        <f t="shared" si="2"/>
        <v/>
      </c>
      <c r="P22" s="21" t="str">
        <f t="shared" si="2"/>
        <v>●</v>
      </c>
      <c r="Q22" s="21" t="str">
        <f t="shared" si="2"/>
        <v>●</v>
      </c>
      <c r="R22" s="18" t="str">
        <f t="shared" si="2"/>
        <v/>
      </c>
      <c r="S22" s="18" t="str">
        <f t="shared" si="2"/>
        <v/>
      </c>
      <c r="T22" s="18" t="str">
        <f t="shared" si="2"/>
        <v/>
      </c>
    </row>
    <row r="23" spans="1:20" ht="22.7" customHeight="1">
      <c r="A23" s="7">
        <v>13</v>
      </c>
      <c r="B23" s="7" t="s">
        <v>103</v>
      </c>
      <c r="C23" s="7" t="s">
        <v>104</v>
      </c>
      <c r="D23" s="7" t="s">
        <v>105</v>
      </c>
      <c r="E23" s="7" t="s">
        <v>76</v>
      </c>
      <c r="F23" s="11" t="s">
        <v>22</v>
      </c>
      <c r="G23" s="7">
        <v>6</v>
      </c>
      <c r="H23" s="7">
        <v>8</v>
      </c>
      <c r="I23" s="7">
        <f t="shared" si="0"/>
        <v>3</v>
      </c>
      <c r="J23" s="12">
        <v>0</v>
      </c>
      <c r="K23" s="18" t="str">
        <f t="shared" si="2"/>
        <v/>
      </c>
      <c r="L23" s="18" t="str">
        <f t="shared" si="2"/>
        <v/>
      </c>
      <c r="M23" s="18" t="str">
        <f t="shared" si="2"/>
        <v/>
      </c>
      <c r="N23" s="18" t="str">
        <f t="shared" si="2"/>
        <v/>
      </c>
      <c r="O23" s="18" t="str">
        <f t="shared" si="2"/>
        <v/>
      </c>
      <c r="P23" s="21" t="str">
        <f t="shared" si="2"/>
        <v>●</v>
      </c>
      <c r="Q23" s="21" t="str">
        <f t="shared" si="2"/>
        <v>●</v>
      </c>
      <c r="R23" s="21" t="str">
        <f t="shared" si="2"/>
        <v>●</v>
      </c>
      <c r="S23" s="18" t="str">
        <f t="shared" si="2"/>
        <v/>
      </c>
      <c r="T23" s="18" t="str">
        <f t="shared" si="2"/>
        <v/>
      </c>
    </row>
    <row r="24" spans="1:20" ht="22.7" customHeight="1">
      <c r="A24" s="9">
        <v>14</v>
      </c>
      <c r="B24" s="9" t="s">
        <v>106</v>
      </c>
      <c r="C24" s="9" t="s">
        <v>107</v>
      </c>
      <c r="D24" s="9" t="s">
        <v>108</v>
      </c>
      <c r="E24" s="9" t="s">
        <v>69</v>
      </c>
      <c r="F24" s="11" t="s">
        <v>22</v>
      </c>
      <c r="G24" s="9">
        <v>7</v>
      </c>
      <c r="H24" s="9">
        <v>8</v>
      </c>
      <c r="I24" s="9">
        <f t="shared" si="0"/>
        <v>2</v>
      </c>
      <c r="J24" s="12">
        <v>0</v>
      </c>
      <c r="K24" s="18" t="str">
        <f t="shared" si="2"/>
        <v/>
      </c>
      <c r="L24" s="18" t="str">
        <f t="shared" si="2"/>
        <v/>
      </c>
      <c r="M24" s="18" t="str">
        <f t="shared" si="2"/>
        <v/>
      </c>
      <c r="N24" s="18" t="str">
        <f t="shared" si="2"/>
        <v/>
      </c>
      <c r="O24" s="18" t="str">
        <f t="shared" si="2"/>
        <v/>
      </c>
      <c r="P24" s="18" t="str">
        <f t="shared" si="2"/>
        <v/>
      </c>
      <c r="Q24" s="21" t="str">
        <f t="shared" si="2"/>
        <v>●</v>
      </c>
      <c r="R24" s="21" t="str">
        <f t="shared" si="2"/>
        <v>●</v>
      </c>
      <c r="S24" s="18" t="str">
        <f t="shared" si="2"/>
        <v/>
      </c>
      <c r="T24" s="18" t="str">
        <f t="shared" si="2"/>
        <v/>
      </c>
    </row>
    <row r="25" spans="1:20" ht="22.7" customHeight="1">
      <c r="A25" s="7">
        <v>15</v>
      </c>
      <c r="B25" s="7" t="s">
        <v>109</v>
      </c>
      <c r="C25" s="7" t="s">
        <v>110</v>
      </c>
      <c r="D25" s="7" t="s">
        <v>91</v>
      </c>
      <c r="E25" s="7" t="s">
        <v>76</v>
      </c>
      <c r="F25" s="11" t="s">
        <v>22</v>
      </c>
      <c r="G25" s="7">
        <v>8</v>
      </c>
      <c r="H25" s="7">
        <v>9</v>
      </c>
      <c r="I25" s="7">
        <f t="shared" si="0"/>
        <v>2</v>
      </c>
      <c r="J25" s="12">
        <v>0</v>
      </c>
      <c r="K25" s="18" t="str">
        <f t="shared" si="2"/>
        <v/>
      </c>
      <c r="L25" s="18" t="str">
        <f t="shared" si="2"/>
        <v/>
      </c>
      <c r="M25" s="18" t="str">
        <f t="shared" si="2"/>
        <v/>
      </c>
      <c r="N25" s="18" t="str">
        <f t="shared" si="2"/>
        <v/>
      </c>
      <c r="O25" s="18" t="str">
        <f t="shared" si="2"/>
        <v/>
      </c>
      <c r="P25" s="18" t="str">
        <f t="shared" si="2"/>
        <v/>
      </c>
      <c r="Q25" s="18" t="str">
        <f t="shared" si="2"/>
        <v/>
      </c>
      <c r="R25" s="21" t="str">
        <f t="shared" si="2"/>
        <v>●</v>
      </c>
      <c r="S25" s="21" t="str">
        <f t="shared" si="2"/>
        <v>●</v>
      </c>
      <c r="T25" s="18" t="str">
        <f t="shared" si="2"/>
        <v/>
      </c>
    </row>
    <row r="26" spans="1:20" ht="22.7" customHeight="1">
      <c r="A26" s="9">
        <v>16</v>
      </c>
      <c r="B26" s="9" t="s">
        <v>111</v>
      </c>
      <c r="C26" s="9" t="s">
        <v>112</v>
      </c>
      <c r="D26" s="9" t="s">
        <v>113</v>
      </c>
      <c r="E26" s="9" t="s">
        <v>69</v>
      </c>
      <c r="F26" s="11" t="s">
        <v>22</v>
      </c>
      <c r="G26" s="9">
        <v>8</v>
      </c>
      <c r="H26" s="9">
        <v>10</v>
      </c>
      <c r="I26" s="9">
        <f t="shared" si="0"/>
        <v>3</v>
      </c>
      <c r="J26" s="12">
        <v>0</v>
      </c>
      <c r="K26" s="18" t="str">
        <f t="shared" si="2"/>
        <v/>
      </c>
      <c r="L26" s="18" t="str">
        <f t="shared" si="2"/>
        <v/>
      </c>
      <c r="M26" s="18" t="str">
        <f t="shared" si="2"/>
        <v/>
      </c>
      <c r="N26" s="18" t="str">
        <f t="shared" si="2"/>
        <v/>
      </c>
      <c r="O26" s="18" t="str">
        <f t="shared" si="2"/>
        <v/>
      </c>
      <c r="P26" s="18" t="str">
        <f t="shared" si="2"/>
        <v/>
      </c>
      <c r="Q26" s="18" t="str">
        <f t="shared" si="2"/>
        <v/>
      </c>
      <c r="R26" s="21" t="str">
        <f t="shared" si="2"/>
        <v>●</v>
      </c>
      <c r="S26" s="21" t="str">
        <f t="shared" si="2"/>
        <v>●</v>
      </c>
      <c r="T26" s="21" t="str">
        <f t="shared" si="2"/>
        <v>●</v>
      </c>
    </row>
    <row r="27" spans="1:20" ht="22.7" customHeight="1">
      <c r="A27" s="7">
        <v>17</v>
      </c>
      <c r="B27" s="7" t="s">
        <v>114</v>
      </c>
      <c r="C27" s="7" t="s">
        <v>115</v>
      </c>
      <c r="D27" s="7" t="s">
        <v>116</v>
      </c>
      <c r="E27" s="7" t="s">
        <v>73</v>
      </c>
      <c r="F27" s="11" t="s">
        <v>22</v>
      </c>
      <c r="G27" s="7">
        <v>8</v>
      </c>
      <c r="H27" s="7">
        <v>10</v>
      </c>
      <c r="I27" s="7">
        <f t="shared" si="0"/>
        <v>3</v>
      </c>
      <c r="J27" s="12">
        <v>0</v>
      </c>
      <c r="K27" s="18" t="str">
        <f t="shared" si="2"/>
        <v/>
      </c>
      <c r="L27" s="18" t="str">
        <f t="shared" si="2"/>
        <v/>
      </c>
      <c r="M27" s="18" t="str">
        <f t="shared" si="2"/>
        <v/>
      </c>
      <c r="N27" s="18" t="str">
        <f t="shared" si="2"/>
        <v/>
      </c>
      <c r="O27" s="18" t="str">
        <f t="shared" si="2"/>
        <v/>
      </c>
      <c r="P27" s="18" t="str">
        <f t="shared" si="2"/>
        <v/>
      </c>
      <c r="Q27" s="18" t="str">
        <f t="shared" si="2"/>
        <v/>
      </c>
      <c r="R27" s="21" t="str">
        <f t="shared" si="2"/>
        <v>●</v>
      </c>
      <c r="S27" s="21" t="str">
        <f t="shared" si="2"/>
        <v>●</v>
      </c>
      <c r="T27" s="21" t="str">
        <f t="shared" si="2"/>
        <v>●</v>
      </c>
    </row>
    <row r="28" spans="1:20" ht="22.7" customHeight="1">
      <c r="A28" s="9">
        <v>18</v>
      </c>
      <c r="B28" s="9" t="s">
        <v>117</v>
      </c>
      <c r="C28" s="9" t="s">
        <v>118</v>
      </c>
      <c r="D28" s="9" t="s">
        <v>119</v>
      </c>
      <c r="E28" s="9" t="s">
        <v>69</v>
      </c>
      <c r="F28" s="11" t="s">
        <v>22</v>
      </c>
      <c r="G28" s="9">
        <v>10</v>
      </c>
      <c r="H28" s="9">
        <v>10</v>
      </c>
      <c r="I28" s="9">
        <f t="shared" si="0"/>
        <v>1</v>
      </c>
      <c r="J28" s="12">
        <v>0</v>
      </c>
      <c r="K28" s="18" t="str">
        <f t="shared" si="2"/>
        <v/>
      </c>
      <c r="L28" s="18" t="str">
        <f t="shared" si="2"/>
        <v/>
      </c>
      <c r="M28" s="18" t="str">
        <f t="shared" si="2"/>
        <v/>
      </c>
      <c r="N28" s="18" t="str">
        <f t="shared" si="2"/>
        <v/>
      </c>
      <c r="O28" s="18" t="str">
        <f t="shared" si="2"/>
        <v/>
      </c>
      <c r="P28" s="18" t="str">
        <f t="shared" si="2"/>
        <v/>
      </c>
      <c r="Q28" s="18" t="str">
        <f t="shared" si="2"/>
        <v/>
      </c>
      <c r="R28" s="18" t="str">
        <f t="shared" si="2"/>
        <v/>
      </c>
      <c r="S28" s="18" t="str">
        <f t="shared" si="2"/>
        <v/>
      </c>
      <c r="T28" s="21" t="str">
        <f t="shared" si="2"/>
        <v>●</v>
      </c>
    </row>
    <row r="30" spans="1:20" ht="20.100000000000001" customHeight="1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</row>
  </sheetData>
  <mergeCells count="18">
    <mergeCell ref="A1:T1"/>
    <mergeCell ref="A2:T2"/>
    <mergeCell ref="H4:J4"/>
    <mergeCell ref="L4:T4"/>
    <mergeCell ref="K8:N8"/>
    <mergeCell ref="O8:R8"/>
    <mergeCell ref="S8:T8"/>
    <mergeCell ref="A10:J10"/>
    <mergeCell ref="A30:T30"/>
    <mergeCell ref="I5:J5"/>
    <mergeCell ref="I6:J6"/>
    <mergeCell ref="I7:J7"/>
    <mergeCell ref="L5:Q5"/>
    <mergeCell ref="R5:T5"/>
    <mergeCell ref="L6:Q6"/>
    <mergeCell ref="R6:T6"/>
    <mergeCell ref="L7:Q7"/>
    <mergeCell ref="R7:T7"/>
  </mergeCells>
  <conditionalFormatting sqref="J11:J28">
    <cfRule type="dataBar" priority="1">
      <dataBar>
        <cfvo type="min"/>
        <cfvo type="max"/>
        <color rgb="FF5B9BD5"/>
      </dataBar>
    </cfRule>
    <cfRule type="dataBar" priority="2">
      <dataBar>
        <cfvo type="min"/>
        <cfvo type="max"/>
        <color rgb="FF5B9BD5"/>
      </dataBar>
    </cfRule>
    <cfRule type="dataBar" priority="3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{E89D8680-0A3E-6E0B-533A-6A1F366AAEE5}</x14:id>
        </ext>
      </extLst>
    </cfRule>
  </conditionalFormatting>
  <dataValidations count="3">
    <dataValidation type="list" sqref="F11:F28" xr:uid="{00000000-0002-0000-0000-000000000000}">
      <formula1>"Pendiente,En curso,Completado"</formula1>
    </dataValidation>
    <dataValidation type="whole" sqref="G11:H28" xr:uid="{00000000-0002-0000-0000-000001000000}">
      <formula1>1</formula1>
      <formula2>10</formula2>
    </dataValidation>
    <dataValidation type="whole" sqref="J11:J28" xr:uid="{00000000-0002-0000-0000-000002000000}">
      <formula1>0</formula1>
      <formula2>100</formula2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89D8680-0A3E-6E0B-533A-6A1F366AAEE5}">
            <x14:dataBar>
              <x14:cfvo type="min"/>
              <x14:cfvo type="max"/>
              <x14:negativeFillColor auto="1"/>
              <x14:axisColor auto="1"/>
            </x14:dataBar>
          </x14:cfRule>
          <xm:sqref>J11:J28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1"/>
  <sheetViews>
    <sheetView workbookViewId="0"/>
  </sheetViews>
  <sheetFormatPr defaultColWidth="8.625" defaultRowHeight="14.25"/>
  <cols>
    <col min="1" max="2" width="28" customWidth="1"/>
    <col min="3" max="3" width="45" customWidth="1"/>
    <col min="4" max="4" width="29" customWidth="1"/>
    <col min="5" max="5" width="20" customWidth="1"/>
    <col min="6" max="6" width="28" customWidth="1"/>
    <col min="7" max="7" width="34" customWidth="1"/>
  </cols>
  <sheetData>
    <row r="1" spans="1:7" ht="20.100000000000001" customHeight="1">
      <c r="A1" s="34" t="s">
        <v>120</v>
      </c>
      <c r="B1" s="34"/>
      <c r="C1" s="34"/>
      <c r="D1" s="34"/>
      <c r="E1" s="34"/>
      <c r="F1" s="34"/>
      <c r="G1" s="34"/>
    </row>
    <row r="2" spans="1:7">
      <c r="A2" s="35" t="s">
        <v>121</v>
      </c>
      <c r="B2" s="35"/>
      <c r="C2" s="35"/>
      <c r="D2" s="35"/>
      <c r="E2" s="35"/>
      <c r="F2" s="35"/>
      <c r="G2" s="35"/>
    </row>
    <row r="3" spans="1:7">
      <c r="A3" s="36" t="s">
        <v>122</v>
      </c>
      <c r="B3" s="36"/>
      <c r="C3" s="36"/>
      <c r="D3" s="36"/>
      <c r="E3" s="36"/>
      <c r="F3" s="36"/>
      <c r="G3" s="36"/>
    </row>
    <row r="5" spans="1:7" ht="22.7" customHeight="1">
      <c r="A5" s="4" t="s">
        <v>58</v>
      </c>
      <c r="B5" s="4" t="s">
        <v>59</v>
      </c>
      <c r="C5" s="4" t="s">
        <v>60</v>
      </c>
      <c r="D5" s="4" t="s">
        <v>61</v>
      </c>
      <c r="E5" s="4" t="s">
        <v>62</v>
      </c>
      <c r="F5" s="4" t="s">
        <v>31</v>
      </c>
      <c r="G5" s="4" t="s">
        <v>63</v>
      </c>
    </row>
    <row r="6" spans="1:7" ht="32.1" customHeight="1">
      <c r="A6" s="14" t="s">
        <v>123</v>
      </c>
      <c r="B6" s="14" t="s">
        <v>124</v>
      </c>
      <c r="C6" s="14" t="s">
        <v>125</v>
      </c>
      <c r="D6" s="14" t="s">
        <v>68</v>
      </c>
      <c r="E6" s="14" t="s">
        <v>126</v>
      </c>
      <c r="F6" s="14" t="s">
        <v>69</v>
      </c>
      <c r="G6" s="14" t="s">
        <v>127</v>
      </c>
    </row>
    <row r="7" spans="1:7" ht="32.1" customHeight="1">
      <c r="A7" s="13" t="s">
        <v>128</v>
      </c>
      <c r="B7" s="13" t="s">
        <v>129</v>
      </c>
      <c r="C7" s="13" t="s">
        <v>130</v>
      </c>
      <c r="D7" s="13" t="s">
        <v>72</v>
      </c>
      <c r="E7" s="13" t="s">
        <v>131</v>
      </c>
      <c r="F7" s="13" t="s">
        <v>73</v>
      </c>
      <c r="G7" s="13" t="s">
        <v>132</v>
      </c>
    </row>
    <row r="8" spans="1:7" ht="32.1" customHeight="1">
      <c r="A8" s="14" t="s">
        <v>133</v>
      </c>
      <c r="B8" s="14" t="s">
        <v>134</v>
      </c>
      <c r="C8" s="14" t="s">
        <v>135</v>
      </c>
      <c r="D8" s="14" t="s">
        <v>17</v>
      </c>
      <c r="E8" s="14" t="s">
        <v>136</v>
      </c>
      <c r="F8" s="14" t="s">
        <v>76</v>
      </c>
      <c r="G8" s="14" t="s">
        <v>137</v>
      </c>
    </row>
    <row r="9" spans="1:7" ht="32.1" customHeight="1">
      <c r="A9" s="13" t="s">
        <v>138</v>
      </c>
      <c r="B9" s="13" t="s">
        <v>139</v>
      </c>
      <c r="C9" s="13" t="s">
        <v>140</v>
      </c>
      <c r="D9" s="13" t="s">
        <v>141</v>
      </c>
      <c r="E9" s="13" t="s">
        <v>131</v>
      </c>
      <c r="F9" s="13" t="s">
        <v>69</v>
      </c>
      <c r="G9" s="13" t="s">
        <v>142</v>
      </c>
    </row>
    <row r="10" spans="1:7" ht="32.1" customHeight="1">
      <c r="A10" s="14" t="s">
        <v>143</v>
      </c>
      <c r="B10" s="14" t="s">
        <v>144</v>
      </c>
      <c r="C10" s="14" t="s">
        <v>145</v>
      </c>
      <c r="D10" s="14" t="s">
        <v>19</v>
      </c>
      <c r="E10" s="14" t="s">
        <v>131</v>
      </c>
      <c r="F10" s="14" t="s">
        <v>69</v>
      </c>
      <c r="G10" s="14" t="s">
        <v>146</v>
      </c>
    </row>
    <row r="11" spans="1:7" ht="32.1" customHeight="1">
      <c r="A11" s="13" t="s">
        <v>147</v>
      </c>
      <c r="B11" s="13" t="s">
        <v>148</v>
      </c>
      <c r="C11" s="13" t="s">
        <v>149</v>
      </c>
      <c r="D11" s="13" t="s">
        <v>85</v>
      </c>
      <c r="E11" s="13" t="s">
        <v>150</v>
      </c>
      <c r="F11" s="13" t="s">
        <v>76</v>
      </c>
      <c r="G11" s="13" t="s">
        <v>151</v>
      </c>
    </row>
    <row r="12" spans="1:7" ht="32.1" customHeight="1">
      <c r="A12" s="14" t="s">
        <v>138</v>
      </c>
      <c r="B12" s="14" t="s">
        <v>152</v>
      </c>
      <c r="C12" s="14" t="s">
        <v>153</v>
      </c>
      <c r="D12" s="14" t="s">
        <v>154</v>
      </c>
      <c r="E12" s="14" t="s">
        <v>155</v>
      </c>
      <c r="F12" s="14" t="s">
        <v>73</v>
      </c>
      <c r="G12" s="14" t="s">
        <v>156</v>
      </c>
    </row>
    <row r="13" spans="1:7" ht="32.1" customHeight="1">
      <c r="A13" s="13" t="s">
        <v>138</v>
      </c>
      <c r="B13" s="13" t="s">
        <v>157</v>
      </c>
      <c r="C13" s="13" t="s">
        <v>158</v>
      </c>
      <c r="D13" s="13" t="s">
        <v>99</v>
      </c>
      <c r="E13" s="13" t="s">
        <v>159</v>
      </c>
      <c r="F13" s="13" t="s">
        <v>76</v>
      </c>
      <c r="G13" s="13" t="s">
        <v>160</v>
      </c>
    </row>
    <row r="14" spans="1:7" ht="32.1" customHeight="1">
      <c r="A14" s="14" t="s">
        <v>161</v>
      </c>
      <c r="B14" s="14" t="s">
        <v>162</v>
      </c>
      <c r="C14" s="14" t="s">
        <v>163</v>
      </c>
      <c r="D14" s="14" t="s">
        <v>164</v>
      </c>
      <c r="E14" s="14" t="s">
        <v>159</v>
      </c>
      <c r="F14" s="14" t="s">
        <v>76</v>
      </c>
      <c r="G14" s="14" t="s">
        <v>165</v>
      </c>
    </row>
    <row r="15" spans="1:7" ht="32.1" customHeight="1">
      <c r="A15" s="13" t="s">
        <v>166</v>
      </c>
      <c r="B15" s="13" t="s">
        <v>167</v>
      </c>
      <c r="C15" s="13" t="s">
        <v>168</v>
      </c>
      <c r="D15" s="13" t="s">
        <v>99</v>
      </c>
      <c r="E15" s="13" t="s">
        <v>169</v>
      </c>
      <c r="F15" s="13" t="s">
        <v>73</v>
      </c>
      <c r="G15" s="13" t="s">
        <v>170</v>
      </c>
    </row>
    <row r="16" spans="1:7" ht="32.1" customHeight="1">
      <c r="A16" s="14" t="s">
        <v>171</v>
      </c>
      <c r="B16" s="14" t="s">
        <v>172</v>
      </c>
      <c r="C16" s="14" t="s">
        <v>173</v>
      </c>
      <c r="D16" s="14" t="s">
        <v>102</v>
      </c>
      <c r="E16" s="14" t="s">
        <v>174</v>
      </c>
      <c r="F16" s="14" t="s">
        <v>73</v>
      </c>
      <c r="G16" s="14" t="s">
        <v>175</v>
      </c>
    </row>
    <row r="17" spans="1:7" ht="32.1" customHeight="1">
      <c r="A17" s="13" t="s">
        <v>103</v>
      </c>
      <c r="B17" s="13" t="s">
        <v>176</v>
      </c>
      <c r="C17" s="13" t="s">
        <v>177</v>
      </c>
      <c r="D17" s="13" t="s">
        <v>105</v>
      </c>
      <c r="E17" s="13" t="s">
        <v>178</v>
      </c>
      <c r="F17" s="13" t="s">
        <v>69</v>
      </c>
      <c r="G17" s="13" t="s">
        <v>179</v>
      </c>
    </row>
    <row r="18" spans="1:7" ht="32.1" customHeight="1">
      <c r="A18" s="14" t="s">
        <v>180</v>
      </c>
      <c r="B18" s="14" t="s">
        <v>181</v>
      </c>
      <c r="C18" s="14" t="s">
        <v>182</v>
      </c>
      <c r="D18" s="14" t="s">
        <v>91</v>
      </c>
      <c r="E18" s="14" t="s">
        <v>183</v>
      </c>
      <c r="F18" s="14" t="s">
        <v>76</v>
      </c>
      <c r="G18" s="14" t="s">
        <v>184</v>
      </c>
    </row>
    <row r="19" spans="1:7" ht="32.1" customHeight="1">
      <c r="A19" s="13" t="s">
        <v>185</v>
      </c>
      <c r="B19" s="13" t="s">
        <v>186</v>
      </c>
      <c r="C19" s="13" t="s">
        <v>187</v>
      </c>
      <c r="D19" s="13" t="s">
        <v>113</v>
      </c>
      <c r="E19" s="13" t="s">
        <v>188</v>
      </c>
      <c r="F19" s="13" t="s">
        <v>69</v>
      </c>
      <c r="G19" s="13" t="s">
        <v>189</v>
      </c>
    </row>
    <row r="20" spans="1:7" ht="32.1" customHeight="1">
      <c r="A20" s="14" t="s">
        <v>190</v>
      </c>
      <c r="B20" s="14" t="s">
        <v>191</v>
      </c>
      <c r="C20" s="14" t="s">
        <v>192</v>
      </c>
      <c r="D20" s="14" t="s">
        <v>116</v>
      </c>
      <c r="E20" s="14" t="s">
        <v>188</v>
      </c>
      <c r="F20" s="14" t="s">
        <v>73</v>
      </c>
      <c r="G20" s="14" t="s">
        <v>193</v>
      </c>
    </row>
    <row r="21" spans="1:7" ht="32.1" customHeight="1">
      <c r="A21" s="13" t="s">
        <v>194</v>
      </c>
      <c r="B21" s="13" t="s">
        <v>195</v>
      </c>
      <c r="C21" s="13" t="s">
        <v>196</v>
      </c>
      <c r="D21" s="13" t="s">
        <v>119</v>
      </c>
      <c r="E21" s="13" t="s">
        <v>197</v>
      </c>
      <c r="F21" s="13" t="s">
        <v>69</v>
      </c>
      <c r="G21" s="13" t="s">
        <v>198</v>
      </c>
    </row>
  </sheetData>
  <mergeCells count="3">
    <mergeCell ref="A1:G1"/>
    <mergeCell ref="A2:G2"/>
    <mergeCell ref="A3:G3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Carta Gantt</vt:lpstr>
      <vt:lpstr>Plan de Trabajo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JOSE LUIS OPORTO VALENZUELA</cp:lastModifiedBy>
  <dcterms:modified xsi:type="dcterms:W3CDTF">2026-09-04T05:19:08Z</dcterms:modified>
</cp:coreProperties>
</file>