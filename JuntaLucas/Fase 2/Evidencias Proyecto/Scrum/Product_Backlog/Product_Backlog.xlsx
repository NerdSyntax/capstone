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  <sheet state="visible" name="User_Stories" sheetId="2" r:id="rId5"/>
  </sheets>
  <definedNames/>
  <calcPr/>
  <extLst>
    <ext uri="GoogleSheetsCustomDataVersion2">
      <go:sheetsCustomData xmlns:go="http://customooxmlschemas.google.com/" r:id="rId6" roundtripDataChecksum="AIaDO473VTrechxQYyN4ySLaTCfSt8fJrMNICxAjoOk="/>
    </ext>
  </extLst>
</workbook>
</file>

<file path=xl/sharedStrings.xml><?xml version="1.0" encoding="utf-8"?>
<sst xmlns="http://schemas.openxmlformats.org/spreadsheetml/2006/main" count="690" uniqueCount="284">
  <si>
    <t>AutonomIA — Product Backlog</t>
  </si>
  <si>
    <t>Total ítems</t>
  </si>
  <si>
    <t>Alta prioridad</t>
  </si>
  <si>
    <t>En progreso</t>
  </si>
  <si>
    <t>Finalizados</t>
  </si>
  <si>
    <t>53 ítems reales: 38 Historias de Usuario + 13 Tareas Técnicas + 2 Spikes. Los Bugs se agregan solo cuando se detectan. Story Points sugeridos: 1, 2, 3, 5, 8.</t>
  </si>
  <si>
    <t>ID</t>
  </si>
  <si>
    <t>Épica</t>
  </si>
  <si>
    <t>Título / Ítem</t>
  </si>
  <si>
    <t>Tipo</t>
  </si>
  <si>
    <t>Prioridad</t>
  </si>
  <si>
    <t>Story Points</t>
  </si>
  <si>
    <t>Estado</t>
  </si>
  <si>
    <t>Sprint</t>
  </si>
  <si>
    <t>Responsable</t>
  </si>
  <si>
    <t>Dependencias / Notas</t>
  </si>
  <si>
    <t>TASK-01</t>
  </si>
  <si>
    <t>Base técnica</t>
  </si>
  <si>
    <t>Revisar configuración actual del proyecto</t>
  </si>
  <si>
    <t>Tarea Técnica</t>
  </si>
  <si>
    <t>AutonomIA — User Stories</t>
  </si>
  <si>
    <t>Alta</t>
  </si>
  <si>
    <t>Done</t>
  </si>
  <si>
    <t>Sprint 1</t>
  </si>
  <si>
    <t>José Oporto</t>
  </si>
  <si>
    <t>Revisar Gradle, SDK, namespace, applicationId, Manifest y Firebase antes de cambiar versiones.</t>
  </si>
  <si>
    <t>HU-02</t>
  </si>
  <si>
    <t>Autenticación</t>
  </si>
  <si>
    <t>Iniciar sesión</t>
  </si>
  <si>
    <t>Historia de Usuario</t>
  </si>
  <si>
    <t>In Progress</t>
  </si>
  <si>
    <t>Se conserva como Done porque así estaba marcado en el archivo original.</t>
  </si>
  <si>
    <t>HU-01</t>
  </si>
  <si>
    <t>Registrarse</t>
  </si>
  <si>
    <t>Cada HU describe una necesidad del usuario. El mismo ID aparece resumido en Product_Backlog; las tareas técnicas y spikes no aparecen en esta hoja.</t>
  </si>
  <si>
    <t>Backlog</t>
  </si>
  <si>
    <t>Depende de Firebase Authentication.</t>
  </si>
  <si>
    <t>HU-03</t>
  </si>
  <si>
    <t>Recuperar contraseña</t>
  </si>
  <si>
    <t>Media</t>
  </si>
  <si>
    <t>Firebase Authentication.</t>
  </si>
  <si>
    <t>HU-04</t>
  </si>
  <si>
    <t>Verificar correo electrónico</t>
  </si>
  <si>
    <t>Título</t>
  </si>
  <si>
    <t>Por definir</t>
  </si>
  <si>
    <t>Autenticación funcional.</t>
  </si>
  <si>
    <t>Criterios de Aceptación</t>
  </si>
  <si>
    <t>HU-05</t>
  </si>
  <si>
    <t>Observaciones</t>
  </si>
  <si>
    <t>Cerrar sesión</t>
  </si>
  <si>
    <t>Como nuevo usuario, quiero crear una cuenta para acceder a AutonomIA y comenzar a gestionar mi negocio.</t>
  </si>
  <si>
    <t>Limpiar estado de sesión al cerrar.</t>
  </si>
  <si>
    <t>TASK-02</t>
  </si>
  <si>
    <t>Arquitectura y Datos</t>
  </si>
  <si>
    <t>• Solicita correo y contraseña válidos.
• Crea la cuenta con Firebase Authentication.
• Informa si el correo ya está registrado o los datos son inválidos.
• Al completar el registro, la cuenta queda asociada al usuario autenticado.</t>
  </si>
  <si>
    <t>Definir modelos y estructura Firestore</t>
  </si>
  <si>
    <t>MVP</t>
  </si>
  <si>
    <t>Usuario, Negocio, Producto, Venta, Gasto, Análisis, Recomendación y Seguimiento.</t>
  </si>
  <si>
    <t>HU-06</t>
  </si>
  <si>
    <t>Perfil y Negocio</t>
  </si>
  <si>
    <t>Como usuario registrado, quiero iniciar sesión para acceder a la información de mi negocio.</t>
  </si>
  <si>
    <t>Registrar negocio</t>
  </si>
  <si>
    <t>• Solicita correo y contraseña.
• Con credenciales válidas permite ingresar a la aplicación.
• Con credenciales inválidas muestra un error comprensible.
• La sesión se mantiene mediante Firebase Authentication.</t>
  </si>
  <si>
    <t>Marcada como Done en el archivo original.</t>
  </si>
  <si>
    <t>Depende de usuario autenticado y estructura Firestore.</t>
  </si>
  <si>
    <t>HU-07</t>
  </si>
  <si>
    <t>Editar datos del negocio</t>
  </si>
  <si>
    <t>Como usuario registrado, quiero recuperar mi contraseña para volver a acceder a mi cuenta si la olvido.</t>
  </si>
  <si>
    <t>• Permite ingresar el correo de la cuenta.
• Solicita el envío de recuperación mediante Firebase Authentication.
• Muestra confirmación o error sin cerrar la app.</t>
  </si>
  <si>
    <t>Depende de HU-06.</t>
  </si>
  <si>
    <t>HU-08</t>
  </si>
  <si>
    <t>Consultar perfil del negocio</t>
  </si>
  <si>
    <t>Como usuario registrado, quiero verificar mi correo para confirmar que la cuenta me pertenece.</t>
  </si>
  <si>
    <t>• Permite solicitar el correo de verificación.
• Muestra el estado de verificación de la cuenta.
• Permite actualizar el estado después de verificar.</t>
  </si>
  <si>
    <t>HU-09</t>
  </si>
  <si>
    <t>Editar perfil de usuario</t>
  </si>
  <si>
    <t>Baja</t>
  </si>
  <si>
    <t>Como usuario autenticado, quiero cerrar sesión para impedir que otra persona acceda a los datos de mi negocio desde el dispositivo.</t>
  </si>
  <si>
    <t>• Cierra la sesión de Firebase.
• Limpia el estado del usuario en memoria.
• Regresa al flujo de autenticación.</t>
  </si>
  <si>
    <t>No almacenar contraseña ni tokens.</t>
  </si>
  <si>
    <t>TASK-03</t>
  </si>
  <si>
    <t>Arquitectura</t>
  </si>
  <si>
    <t>Implementar AppContainer y ViewModelFactory</t>
  </si>
  <si>
    <t>Como dueño de un negocio, quiero registrar los datos básicos de mi negocio para personalizar AutonomIA con mi información.</t>
  </si>
  <si>
    <t>Inyección manual; no agregar Hilt sin acuerdo.</t>
  </si>
  <si>
    <t>• Permite completar los campos definidos como obligatorios.
• Guarda el negocio asociado al UID autenticado.
• No crea datos bajo el UID de otro usuario.</t>
  </si>
  <si>
    <t>HU-10</t>
  </si>
  <si>
    <t>Productos y Servicios</t>
  </si>
  <si>
    <t>Ver productos y servicios</t>
  </si>
  <si>
    <t>Como dueño de un negocio, quiero editar los datos de mi negocio para mantener su información actualizada.</t>
  </si>
  <si>
    <t>Necesita repositorio de productos/servicios.</t>
  </si>
  <si>
    <t>• Carga los datos actuales.
• Permite modificar los campos editables.
• Guarda los cambios bajo el mismo usuario.
• Informa errores de validación o conexión.</t>
  </si>
  <si>
    <t>HU-11</t>
  </si>
  <si>
    <t>Registrar producto</t>
  </si>
  <si>
    <t>Como dueño de un negocio, quiero consultar el perfil de mi negocio para verificar la información registrada.</t>
  </si>
  <si>
    <t>• Muestra los datos guardados del negocio.
• Solo muestra información correspondiente al usuario autenticado.
• Incluye estado de carga, vacío y error.</t>
  </si>
  <si>
    <t>Campos: costo, precio, stock y stock mínimo.</t>
  </si>
  <si>
    <t>HU-12</t>
  </si>
  <si>
    <t>Registrar servicio</t>
  </si>
  <si>
    <t>Como usuario, quiero actualizar mis datos de perfil para mantener mi información personal vigente.</t>
  </si>
  <si>
    <t>• Carga el perfil del usuario.
• Permite modificar los campos definidos como editables.
• Guarda los cambios bajo users/{uid}.
• No almacena contraseña ni tokens.</t>
  </si>
  <si>
    <t>Como dueño de un negocio, quiero ver mis productos y servicios para consultar qué elementos tengo disponibles para vender.</t>
  </si>
  <si>
    <t>Servicio sin stock.</t>
  </si>
  <si>
    <t>• Muestra únicamente registros del usuario autenticado.
• Diferencia productos de servicios.
• Permite identificar elementos activos e inactivos.
• Incluye carga, vacío y error.</t>
  </si>
  <si>
    <t>HU-13</t>
  </si>
  <si>
    <t>Editar producto o servicio</t>
  </si>
  <si>
    <t>Como dueño de un negocio, quiero registrar un producto para utilizarlo posteriormente en mis ventas y controlar su stock.</t>
  </si>
  <si>
    <t>• Solicita nombre, costo, precio, stock y stock mínimo.
• Los montos se almacenan como pesos CLP sin decimales.
• Valida campos obligatorios y valores inválidos.
• Guarda el producto asociado al usuario.</t>
  </si>
  <si>
    <t>No debe alterar históricos de ventas.</t>
  </si>
  <si>
    <t>HU-14</t>
  </si>
  <si>
    <t>Desactivar producto o servicio</t>
  </si>
  <si>
    <t>Como dueño de un negocio, quiero registrar un servicio para incluirlo en mis ventas sin manejar stock.</t>
  </si>
  <si>
    <t>• Solicita nombre, costo y precio.
• Identifica el registro como servicio.
• No exige stock ni stock mínimo.
• Guarda el servicio asociado al usuario.</t>
  </si>
  <si>
    <t>Conservar historial.</t>
  </si>
  <si>
    <t>HU-15</t>
  </si>
  <si>
    <t>Como dueño de un negocio, quiero editar un producto o servicio para mantener actualizados sus datos actuales.</t>
  </si>
  <si>
    <t>Consultar detalle de producto o servicio</t>
  </si>
  <si>
    <t>• Carga la información existente.
• Permite modificar los campos editables.
• No altera precio ni costo histórico de ventas anteriores.
• Valida los datos antes de guardar.</t>
  </si>
  <si>
    <t>Depende de listado de productos.</t>
  </si>
  <si>
    <t>HU-16</t>
  </si>
  <si>
    <t>Como dueño de un negocio, quiero desactivar un producto o servicio sin eliminarlo para conservar su historial.</t>
  </si>
  <si>
    <t>Actualizar stock de producto</t>
  </si>
  <si>
    <t>• Permite cambiar el registro a inactivo.
• El registro permanece almacenado.
• No aparece como opción normal para nuevas ventas.
• Las ventas históricas siguen siendo consultables.</t>
  </si>
  <si>
    <t>Como dueño de un negocio, quiero consultar el detalle de un producto o servicio para revisar sus valores y estado.</t>
  </si>
  <si>
    <t>Solo aplica a productos.</t>
  </si>
  <si>
    <t>• Muestra nombre, tipo, costo, precio y estado.
• Para productos muestra stock y stock mínimo.
• Para servicios no muestra controles de stock.</t>
  </si>
  <si>
    <t>HU-17</t>
  </si>
  <si>
    <t>Identificar bajo stock</t>
  </si>
  <si>
    <t>Como dueño de un negocio, quiero actualizar el stock de un producto para corregir o mantener su cantidad disponible.</t>
  </si>
  <si>
    <t>• Solo aplica a productos.
• Permite registrar un valor de stock válido.
• No permite stock en servicios.
• Guarda el cambio para el usuario autenticado.</t>
  </si>
  <si>
    <t>Criterio: stock actual &lt;= stock mínimo.</t>
  </si>
  <si>
    <t>HU-24</t>
  </si>
  <si>
    <t>Gastos</t>
  </si>
  <si>
    <t>Registrar gasto</t>
  </si>
  <si>
    <t>Como dueño de un negocio, quiero identificar productos con bajo stock para saber cuáles requieren atención.</t>
  </si>
  <si>
    <t>• Compara stock actual con stock mínimo.
• Destaca los productos que cumplen el criterio de bajo stock.
• No incluye servicios.
• El criterio utilizado es visible y consistente.</t>
  </si>
  <si>
    <t>No duplicar costos ya incluidos en ventas.</t>
  </si>
  <si>
    <t>HU-18</t>
  </si>
  <si>
    <t>HU-25</t>
  </si>
  <si>
    <t>Ventas</t>
  </si>
  <si>
    <t>Consultar gastos</t>
  </si>
  <si>
    <t>Registrar venta de producto</t>
  </si>
  <si>
    <t>Como dueño de un negocio, quiero registrar una venta de producto para actualizar mis ingresos y el stock disponible.</t>
  </si>
  <si>
    <t>• Permite seleccionar un producto activo y cantidad válida.
• Guarda precio y costo históricos.
• Calcula el total de la venta.
• Guarda fecha y medio de pago.
• Venta y descuento de stock se realizan de forma atómica.</t>
  </si>
  <si>
    <t>Depende de HU-24.</t>
  </si>
  <si>
    <t>HU-19</t>
  </si>
  <si>
    <t>HU-26</t>
  </si>
  <si>
    <t>Registrar venta de servicio</t>
  </si>
  <si>
    <t>Filtrar gastos</t>
  </si>
  <si>
    <t>Como dueño de un negocio, quiero registrar una venta de servicio para incluirla en mis ingresos sin modificar stock.</t>
  </si>
  <si>
    <t>• Permite seleccionar un servicio activo.
• Guarda precio y costo históricos.
• Calcula el total y registra fecha y medio de pago.
• No modifica stock.</t>
  </si>
  <si>
    <t>HU-20</t>
  </si>
  <si>
    <t>Consultar historial de ventas</t>
  </si>
  <si>
    <t>Filtrar por periodo y categoría.</t>
  </si>
  <si>
    <t>HU-27</t>
  </si>
  <si>
    <t>Como dueño de un negocio, quiero consultar mis ventas registradas para revisar la actividad del negocio.</t>
  </si>
  <si>
    <t>Editar gasto</t>
  </si>
  <si>
    <t>• Muestra ventas válidas del usuario autenticado.
• Presenta fecha, total y referencia del producto o servicio.
• Diferencia ventas anuladas cuando corresponda.
• Incluye estados de carga, vacío y error.</t>
  </si>
  <si>
    <t>HU-21</t>
  </si>
  <si>
    <t>Consultar detalle de venta</t>
  </si>
  <si>
    <t>Solo gastos propios del usuario.</t>
  </si>
  <si>
    <t>TASK-04</t>
  </si>
  <si>
    <t>Como dueño de un negocio, quiero revisar el detalle de una venta para conocer la información registrada en ese momento.</t>
  </si>
  <si>
    <t>Seguridad</t>
  </si>
  <si>
    <t>Implementar y probar reglas Firestore por UID</t>
  </si>
  <si>
    <t>• Muestra cantidad, total, fecha y medio de pago.
• Muestra precio y costo históricos.
• Indica si la venta fue anulada.</t>
  </si>
  <si>
    <t>HU-22</t>
  </si>
  <si>
    <t>Filtrar ventas</t>
  </si>
  <si>
    <t>Como dueño de un negocio, quiero filtrar mis ventas para encontrar operaciones de un periodo o medio de pago específico.</t>
  </si>
  <si>
    <t>• Permite seleccionar un periodo.
• Permite filtrar por medio de pago cuando exista información.
• Los resultados respetan los filtros seleccionados.</t>
  </si>
  <si>
    <t>Probar aislamiento entre dos usuarios diferentes.</t>
  </si>
  <si>
    <t>TASK-05</t>
  </si>
  <si>
    <t>HU-23</t>
  </si>
  <si>
    <t>Implementar transacción atómica venta-stock</t>
  </si>
  <si>
    <t>Anular venta</t>
  </si>
  <si>
    <t>Como dueño de un negocio, quiero anular una venta incorrecta para mantener mis registros y stock consistentes.</t>
  </si>
  <si>
    <t>• Marca la venta como anulada sin duplicar la operación.
• Si corresponde a producto, repone el stock una sola vez.
• Una segunda anulación no vuelve a incrementar stock.
• La venta anulada no se incluye en indicadores válidos.</t>
  </si>
  <si>
    <t>Evitar venta guardada con stock inconsistente o doble operación.</t>
  </si>
  <si>
    <t>Como dueño de un negocio, quiero registrar un gasto para incluir los egresos del negocio en mis indicadores.</t>
  </si>
  <si>
    <t>• Solicita nombre, categoría, monto y fecha.
• El monto se guarda en CLP sin decimales.
• Valida valores obligatorios e inválidos.
• Guarda el gasto bajo el usuario autenticado.</t>
  </si>
  <si>
    <t>Depende de productos y TASK-05.</t>
  </si>
  <si>
    <t>Como dueño de un negocio, quiero consultar mis gastos para revisar en qué se están utilizando recursos del negocio.</t>
  </si>
  <si>
    <t>• Muestra gastos del usuario autenticado.
• Presenta nombre, categoría, monto y fecha.
• Incluye estados de carga, vacío y error.</t>
  </si>
  <si>
    <t>No modifica stock.</t>
  </si>
  <si>
    <t>Como dueño de un negocio, quiero filtrar gastos por periodo y categoría para analizar mejor mis egresos.</t>
  </si>
  <si>
    <t>• Permite filtrar por periodo.
• Permite filtrar por categoría.
• El total mostrado corresponde a los registros filtrados.</t>
  </si>
  <si>
    <t>Como dueño de un negocio, quiero corregir un gasto registrado para mantener la información consistente cuando cometa un error.</t>
  </si>
  <si>
    <t>• Carga el gasto existente.
• Permite modificar nombre, categoría, monto o fecha.
• Valida los datos antes de guardar.
• Solo permite modificar gastos del usuario autenticado.</t>
  </si>
  <si>
    <t>Excluir o identificar anuladas según vista.</t>
  </si>
  <si>
    <t>HU-28</t>
  </si>
  <si>
    <t>Dashboard e Indicadores</t>
  </si>
  <si>
    <t>Seleccionar periodo</t>
  </si>
  <si>
    <t>Como dueño de un negocio, quiero seleccionar un periodo para consultar indicadores correspondientes a fechas específicas.</t>
  </si>
  <si>
    <t>• Permite definir un periodo válido.
• Actualiza los cálculos usando solo datos del periodo.
• Muestra claramente las fechas seleccionadas.</t>
  </si>
  <si>
    <t>Mostrar precio y costo históricos.</t>
  </si>
  <si>
    <t>HU-29</t>
  </si>
  <si>
    <t>Consultar indicadores principales</t>
  </si>
  <si>
    <t>Como dueño de un negocio, quiero consultar ventas, gastos, resultado y margen para conocer la situación del periodo.</t>
  </si>
  <si>
    <t>• Calcula ventas válidas.
• Calcula costo de ventas, ganancia bruta, gastos y resultado estimado.
• Calcula margen cuando el denominador es distinto de cero.
• Si no es calculable, lo informa sin inventar valores.</t>
  </si>
  <si>
    <t>Periodo y medio de pago.</t>
  </si>
  <si>
    <t>TASK-06</t>
  </si>
  <si>
    <t>HU-30</t>
  </si>
  <si>
    <t>Implementar anulación idempotente y reposición de stock</t>
  </si>
  <si>
    <t>Comparar periodos equivalentes</t>
  </si>
  <si>
    <t>Como dueño de un negocio, quiero comparar un periodo con el anterior equivalente para identificar cambios en mis indicadores.</t>
  </si>
  <si>
    <t>• Compara periodos de igual duración.
• Calcula variación porcentual cuando corresponde.
• Si el periodo anterior tiene denominador cero, informa No calculable.
• Permite valores negativos.</t>
  </si>
  <si>
    <t>Una venta solo puede reponer stock una vez.</t>
  </si>
  <si>
    <t>HU-31</t>
  </si>
  <si>
    <t>Visualizar gráficos básicos</t>
  </si>
  <si>
    <t>Como dueño de un negocio, quiero visualizar gráficos simples para interpretar más fácilmente mis ventas y gastos.</t>
  </si>
  <si>
    <t>• Presenta gráficos compatibles con Compose.
• Los gráficos utilizan los mismos datos e intervalos que los indicadores.
• Incluyen etiquetas o información accesible y no dependen solo del color.</t>
  </si>
  <si>
    <t>HU-32</t>
  </si>
  <si>
    <t>AutonomIA / IA</t>
  </si>
  <si>
    <t>Depende de TASK-06.</t>
  </si>
  <si>
    <t>Solicitar análisis con IA</t>
  </si>
  <si>
    <t>TASK-07</t>
  </si>
  <si>
    <t>Indicadores</t>
  </si>
  <si>
    <t>Como dueño de un negocio, quiero solicitar un análisis de un periodo para que AutonomIA interprete mis indicadores.</t>
  </si>
  <si>
    <t>Implementar motor de cálculos y pruebas unitarias</t>
  </si>
  <si>
    <t>• El análisis se ejecuta solo por acción del usuario.
• Envía a Gemini datos agregados y necesarios, no credenciales ni datos personales innecesarios.
• Incluye indicadores y periodo utilizado.
• Maneja carga, timeout y falta de conexión.</t>
  </si>
  <si>
    <t>Función central del MVP</t>
  </si>
  <si>
    <t>HU-33</t>
  </si>
  <si>
    <t>Consultar resumen del análisis</t>
  </si>
  <si>
    <t>Ventas, costo de ventas, ganancia bruta, resultado, margen y variación.</t>
  </si>
  <si>
    <t>Como dueño de un negocio, quiero leer un resumen sencillo del análisis para comprender la situación del periodo.</t>
  </si>
  <si>
    <t>TASK-08</t>
  </si>
  <si>
    <t>• Muestra summary y dataStatus.
• Indica fecha y periodo analizado.
• Diferencia claramente cálculos de texto generado por IA.
• No muestra cifras que no estén respaldadas por los datos enviados.</t>
  </si>
  <si>
    <t>Implementar consultas y agregación por periodo</t>
  </si>
  <si>
    <t>HU-34</t>
  </si>
  <si>
    <t>Consultar recomendaciones</t>
  </si>
  <si>
    <t>Comparar periodos equivalentes y filtrar ventas/gastos válidos.</t>
  </si>
  <si>
    <t>Como dueño de un negocio, quiero recibir recomendaciones fundamentadas para evaluar acciones concretas sobre mi negocio.</t>
  </si>
  <si>
    <t>• Muestra entre 0 y 3 recomendaciones.
• Cada recomendación incluye título, situación, justificación, acción, prioridad y evidencia.
• La evidencia referencia indicadores enviados.
• No inventa causas, mercado ni predicciones.</t>
  </si>
  <si>
    <t>HU-35</t>
  </si>
  <si>
    <t>Reintentar análisis fallido</t>
  </si>
  <si>
    <t>Como dueño de un negocio, quiero reintentar un análisis que falló para obtener una respuesta sin crear registros duplicados.</t>
  </si>
  <si>
    <t>Base para dashboard y análisis IA.</t>
  </si>
  <si>
    <t>• Permite reintentar tras error de red, timeout o respuesta inválida.
• No guarda un análisis incompleto como válido.
• Evita duplicar análisis por un mismo intento.
• Muestra un mensaje comprensible.</t>
  </si>
  <si>
    <t>HU-36</t>
  </si>
  <si>
    <t>Historial y Seguimiento</t>
  </si>
  <si>
    <t>Consultar historial de análisis</t>
  </si>
  <si>
    <t>Como dueño de un negocio, quiero consultar análisis anteriores para revisar lo que AutonomIA indicó en otros periodos.</t>
  </si>
  <si>
    <t>• Lista análisis guardados con fecha y periodo.
• Permite distinguir análisis diferentes.
• Solo muestra análisis del usuario autenticado.</t>
  </si>
  <si>
    <t>Depende de TASK-07 y TASK-08.</t>
  </si>
  <si>
    <t>HU-37</t>
  </si>
  <si>
    <t>Registrar seguimiento de recomendación</t>
  </si>
  <si>
    <t>Como dueño de un negocio, quiero registrar el estado y notas de una recomendación para hacer seguimiento a la acción que decidí tomar.</t>
  </si>
  <si>
    <t>• Permite usar pendiente, en progreso, completada o descartada.
• Permite registrar acción, nota y fecha de revisión.
• El seguimiento queda relacionado con su análisis y recomendación.</t>
  </si>
  <si>
    <t>HU-38</t>
  </si>
  <si>
    <t>Manejar denominador cero.</t>
  </si>
  <si>
    <t>SPIKE-01</t>
  </si>
  <si>
    <t>Revisar evolución de un indicador</t>
  </si>
  <si>
    <t>Evaluar Vico para gráficos Compose</t>
  </si>
  <si>
    <t>Como dueño de un negocio, quiero comparar el indicador asociado a una recomendación con un periodo equivalente posterior para revisar su evolución.</t>
  </si>
  <si>
    <t>Spike</t>
  </si>
  <si>
    <t>• Compara el mismo indicador entre periodos equivalentes.
• Muestra los valores utilizados.
• No afirma que una mejora haya sido causada por la recomendación.
• Si no hay datos suficientes, lo informa.</t>
  </si>
  <si>
    <t>Validar compatibilidad con Compose/Material 3 y necesidades del MVP.</t>
  </si>
  <si>
    <t>TASK-13</t>
  </si>
  <si>
    <t>Implementar gráficos básicos en Compose</t>
  </si>
  <si>
    <t>Depende de SPIKE-01 y HU-29.</t>
  </si>
  <si>
    <t>Depende de TASK-13.</t>
  </si>
  <si>
    <t>SPIKE-02</t>
  </si>
  <si>
    <t>Probar respuesta estructurada con Gemini</t>
  </si>
  <si>
    <t>Validar esquema summary/dataStatus/recommendations antes de cerrar la integración.</t>
  </si>
  <si>
    <t>TASK-09</t>
  </si>
  <si>
    <t>Integrar Firebase AI Logic con Gemini</t>
  </si>
  <si>
    <t>Consultar solo por solicitud del usuario.</t>
  </si>
  <si>
    <t>TASK-10</t>
  </si>
  <si>
    <t>Validar esquema IA, evidencias y manejo de errores</t>
  </si>
  <si>
    <t>Máximo 3 recomendaciones; controlar timeout, red y respuestas inválidas.</t>
  </si>
  <si>
    <t>Depende de indicadores y TASK-09.</t>
  </si>
  <si>
    <t>Mostrar dataStatus, fecha y periodo.</t>
  </si>
  <si>
    <t>0 a 3 recomendaciones con evidencia verificable.</t>
  </si>
  <si>
    <t>No duplicar análisis.</t>
  </si>
  <si>
    <t>TASK-11</t>
  </si>
  <si>
    <t>Persistir análisis, recomendaciones y seguimiento relacionados</t>
  </si>
  <si>
    <t>Guardar indicadores y periodo utilizados por cada análisis.</t>
  </si>
  <si>
    <t>Depende de TASK-11.</t>
  </si>
  <si>
    <t>Estados: pendiente, en progreso, completada y descartada.</t>
  </si>
  <si>
    <t>Comparar periodos equivalentes; no atribuir causalidad.</t>
  </si>
  <si>
    <t>TASK-12</t>
  </si>
  <si>
    <t>QA y Demo</t>
  </si>
  <si>
    <t>Preparar datos de demostración y pruebas críticas</t>
  </si>
  <si>
    <t>Cubrir pérdidas, división por cero, stock, aislamiento, IA insuficiente/inválida y seguimiento.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</si>
</sst>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rlito"/>
      <scheme val="minor"/>
    </font>
    <font>
      <b/>
      <sz val="18.0"/>
      <color rgb="FFFFFFFF"/>
      <name val="Play"/>
    </font>
    <font/>
    <font>
      <i/>
      <sz val="10.0"/>
      <color rgb="FF1F2937"/>
      <name val="Aptos"/>
    </font>
    <font>
      <sz val="10.0"/>
      <color rgb="FF000000"/>
      <name val="Aptos"/>
    </font>
    <font>
      <b/>
      <sz val="10.0"/>
      <color rgb="FF17365D"/>
      <name val="Aptos"/>
    </font>
    <font>
      <i/>
      <sz val="9.0"/>
      <color rgb="FF5A6673"/>
      <name val="Aptos"/>
    </font>
    <font>
      <b/>
      <sz val="10.0"/>
      <color rgb="FFFFFFFF"/>
      <name val="Aptos"/>
    </font>
    <font>
      <sz val="10.0"/>
      <color theme="1"/>
      <name val="Aptos"/>
    </font>
    <font>
      <sz val="10.0"/>
      <color rgb="FF1F2937"/>
      <name val="Aptos"/>
    </font>
    <font>
      <sz val="10.0"/>
      <color rgb="FF1F2937"/>
      <name val="Arial"/>
    </font>
    <font>
      <i/>
      <sz val="9.0"/>
      <color rgb="FF4D5B66"/>
      <name val="Aptos"/>
    </font>
    <font>
      <i/>
      <sz val="10.0"/>
      <color rgb="FF7A7A7A"/>
      <name val="Aptos"/>
    </font>
    <font>
      <sz val="10.0"/>
      <color rgb="FF1F2937"/>
      <name val="Carlito"/>
    </font>
  </fonts>
  <fills count="12">
    <fill>
      <patternFill patternType="none"/>
    </fill>
    <fill>
      <patternFill patternType="lightGray"/>
    </fill>
    <fill>
      <patternFill patternType="solid">
        <fgColor rgb="FF173F67"/>
        <bgColor rgb="FF173F67"/>
      </patternFill>
    </fill>
    <fill>
      <patternFill patternType="solid">
        <fgColor rgb="FFEEF5FB"/>
        <bgColor rgb="FFEEF5FB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F2F4F7"/>
        <bgColor rgb="FFF2F4F7"/>
      </patternFill>
    </fill>
    <fill>
      <patternFill patternType="solid">
        <fgColor rgb="FF2F7DB5"/>
        <bgColor rgb="FF2F7DB5"/>
      </patternFill>
    </fill>
    <fill>
      <patternFill patternType="solid">
        <fgColor rgb="FFEAF2F8"/>
        <bgColor rgb="FFEAF2F8"/>
      </patternFill>
    </fill>
    <fill>
      <patternFill patternType="solid">
        <fgColor rgb="FF2C6E73"/>
        <bgColor rgb="FF2C6E73"/>
      </patternFill>
    </fill>
    <fill>
      <patternFill patternType="solid">
        <fgColor rgb="FF2F6F73"/>
        <bgColor rgb="FF2F6F73"/>
      </patternFill>
    </fill>
    <fill>
      <patternFill patternType="solid">
        <fgColor rgb="FFEAF5FA"/>
        <bgColor rgb="FFEAF5F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vertical="center" wrapText="1"/>
    </xf>
    <xf borderId="0" fillId="0" fontId="4" numFmtId="0" xfId="0" applyFont="1"/>
    <xf borderId="4" fillId="4" fontId="5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center" vertical="center"/>
    </xf>
    <xf borderId="1" fillId="6" fontId="6" numFmtId="0" xfId="0" applyAlignment="1" applyBorder="1" applyFill="1" applyFont="1">
      <alignment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10" numFmtId="0" xfId="0" applyAlignment="1" applyFont="1">
      <alignment readingOrder="0" shrinkToFit="0" vertical="top" wrapText="1"/>
    </xf>
    <xf borderId="4" fillId="2" fontId="1" numFmtId="0" xfId="0" applyBorder="1" applyFill="1" applyFont="1"/>
    <xf borderId="1" fillId="8" fontId="11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vertical="top" wrapText="1"/>
    </xf>
    <xf borderId="4" fillId="8" fontId="11" numFmtId="0" xfId="0" applyAlignment="1" applyBorder="1" applyFill="1" applyFont="1">
      <alignment shrinkToFit="0" wrapText="1"/>
    </xf>
    <xf borderId="4" fillId="9" fontId="7" numFmtId="0" xfId="0" applyAlignment="1" applyBorder="1" applyFill="1" applyFont="1">
      <alignment horizontal="center"/>
    </xf>
    <xf borderId="4" fillId="10" fontId="7" numFmtId="0" xfId="0" applyAlignment="1" applyBorder="1" applyFill="1" applyFont="1">
      <alignment horizontal="center" shrinkToFit="0" vertical="top" wrapText="1"/>
    </xf>
    <xf borderId="4" fillId="11" fontId="12" numFmtId="0" xfId="0" applyAlignment="1" applyBorder="1" applyFill="1" applyFont="1">
      <alignment shrinkToFit="0" vertical="top" wrapText="1"/>
    </xf>
    <xf borderId="4" fillId="11" fontId="4" numFmtId="0" xfId="0" applyAlignment="1" applyBorder="1" applyFill="1" applyFont="1">
      <alignment shrinkToFit="0" vertical="top" wrapText="1"/>
    </xf>
    <xf borderId="4" fillId="11" fontId="9" numFmtId="0" xfId="0" applyAlignment="1" applyBorder="1" applyFill="1" applyFont="1">
      <alignment shrinkToFit="0" vertical="top" wrapText="1"/>
    </xf>
    <xf borderId="0" fillId="0" fontId="13" numFmtId="0" xfId="0" applyAlignment="1" applyFont="1">
      <alignment shrinkToFit="0" vertical="top" wrapText="1"/>
    </xf>
    <xf borderId="0" fillId="0" fontId="13" numFmtId="0" xfId="0" applyAlignment="1" applyFont="1">
      <alignment shrinkToFit="0" vertical="center" wrapText="1"/>
    </xf>
  </cellXfs>
  <cellStyles count="1">
    <cellStyle xfId="0" name="Normal" builtinId="0"/>
  </cellStyles>
  <dxfs count="13">
    <dxf>
      <font>
        <b/>
        <color rgb="FF17365D"/>
      </font>
      <fill>
        <patternFill patternType="none"/>
      </fill>
      <border/>
    </dxf>
    <dxf>
      <font>
        <b/>
        <color rgb="FF9C1C1C"/>
      </font>
      <fill>
        <patternFill patternType="solid">
          <fgColor rgb="FFFDE2E1"/>
          <bgColor rgb="FFFDE2E1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>
        <b/>
        <color rgb="FF9C0006"/>
      </font>
      <fill>
        <patternFill patternType="solid">
          <fgColor rgb="FFF4CCCC"/>
          <bgColor rgb="FFF4CCCC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b/>
        <color rgb="FF2E6B2E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>
        <b/>
        <color rgb="FF9C1C1C"/>
      </font>
      <fill>
        <patternFill patternType="solid">
          <fgColor rgb="FFF4CCCC"/>
          <bgColor rgb="FFF4CCCC"/>
        </patternFill>
      </fill>
      <border/>
    </dxf>
    <dxf>
      <font>
        <b/>
        <color rgb="FF17365D"/>
      </font>
      <fill>
        <patternFill patternType="solid">
          <fgColor rgb="FFD9EAF7"/>
          <bgColor rgb="FFD9EAF7"/>
        </patternFill>
      </fill>
      <border/>
    </dxf>
    <dxf>
      <font>
        <color rgb="FF403151"/>
      </font>
      <fill>
        <patternFill patternType="solid">
          <fgColor rgb="FFE4DFEC"/>
          <bgColor rgb="FFE4DFEC"/>
        </patternFill>
      </fill>
      <border/>
    </dxf>
    <dxf>
      <font>
        <b/>
        <color rgb="FF274E13"/>
      </font>
      <fill>
        <patternFill patternType="solid">
          <fgColor rgb="FFE2F0D9"/>
          <bgColor rgb="FFE2F0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2.0"/>
    <col customWidth="1" min="3" max="3" width="34.0"/>
    <col customWidth="1" min="4" max="4" width="20.0"/>
    <col customWidth="1" min="5" max="5" width="12.0"/>
    <col customWidth="1" min="6" max="6" width="11.0"/>
    <col customWidth="1" min="7" max="7" width="15.0"/>
    <col customWidth="1" min="8" max="8" width="14.0"/>
    <col customWidth="1" min="9" max="9" width="19.0"/>
    <col customWidth="1" min="10" max="10" width="42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7.75" customHeight="1">
      <c r="A2" s="4"/>
      <c r="B2" s="2"/>
      <c r="C2" s="2"/>
      <c r="D2" s="2"/>
      <c r="E2" s="2"/>
      <c r="F2" s="2"/>
      <c r="G2" s="2"/>
      <c r="H2" s="2"/>
      <c r="I2" s="2"/>
      <c r="J2" s="3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</row>
    <row r="4" ht="24.0" customHeight="1">
      <c r="A4" s="6" t="s">
        <v>1</v>
      </c>
      <c r="B4" s="7">
        <f>COUNTIF(A9:A61,"&lt;&gt;")</f>
        <v>53</v>
      </c>
      <c r="C4" s="6" t="s">
        <v>2</v>
      </c>
      <c r="D4" s="7">
        <f>COUNTIF(E9:E61,"Alta")</f>
        <v>30</v>
      </c>
      <c r="E4" s="6" t="s">
        <v>3</v>
      </c>
      <c r="F4" s="7">
        <f>COUNTIF(G9:G61,"In Progress")</f>
        <v>1</v>
      </c>
      <c r="G4" s="6" t="s">
        <v>4</v>
      </c>
      <c r="H4" s="7">
        <f>COUNTIF(G9:G61,"Done")</f>
        <v>1</v>
      </c>
      <c r="I4" s="5"/>
      <c r="J4" s="5"/>
    </row>
    <row r="5" ht="14.2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ht="24.0" customHeight="1">
      <c r="A6" s="8" t="s">
        <v>5</v>
      </c>
      <c r="B6" s="2"/>
      <c r="C6" s="2"/>
      <c r="D6" s="2"/>
      <c r="E6" s="2"/>
      <c r="F6" s="2"/>
      <c r="G6" s="2"/>
      <c r="H6" s="2"/>
      <c r="I6" s="2"/>
      <c r="J6" s="3"/>
    </row>
    <row r="7" ht="14.25" customHeight="1">
      <c r="A7" s="5"/>
      <c r="B7" s="5"/>
      <c r="C7" s="5"/>
      <c r="D7" s="5"/>
      <c r="E7" s="5"/>
      <c r="F7" s="5"/>
      <c r="G7" s="5"/>
      <c r="H7" s="5"/>
      <c r="I7" s="5"/>
      <c r="J7" s="5"/>
    </row>
    <row r="8" ht="27.75" customHeight="1">
      <c r="A8" s="9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</row>
    <row r="9" ht="33.75" customHeight="1">
      <c r="A9" s="10" t="s">
        <v>16</v>
      </c>
      <c r="B9" s="10" t="s">
        <v>17</v>
      </c>
      <c r="C9" s="11" t="s">
        <v>18</v>
      </c>
      <c r="D9" s="11" t="s">
        <v>19</v>
      </c>
      <c r="E9" s="11" t="s">
        <v>21</v>
      </c>
      <c r="F9" s="11">
        <v>2.0</v>
      </c>
      <c r="G9" s="11" t="s">
        <v>22</v>
      </c>
      <c r="H9" s="11" t="s">
        <v>23</v>
      </c>
      <c r="I9" s="12" t="s">
        <v>24</v>
      </c>
      <c r="J9" s="11" t="s">
        <v>25</v>
      </c>
    </row>
    <row r="10" ht="33.75" customHeight="1">
      <c r="A10" s="10" t="s">
        <v>26</v>
      </c>
      <c r="B10" s="10" t="s">
        <v>27</v>
      </c>
      <c r="C10" s="11" t="s">
        <v>28</v>
      </c>
      <c r="D10" s="11" t="s">
        <v>29</v>
      </c>
      <c r="E10" s="11" t="s">
        <v>21</v>
      </c>
      <c r="F10" s="11">
        <v>2.0</v>
      </c>
      <c r="G10" s="11" t="s">
        <v>30</v>
      </c>
      <c r="H10" s="11" t="s">
        <v>23</v>
      </c>
      <c r="I10" s="12" t="s">
        <v>24</v>
      </c>
      <c r="J10" s="11" t="s">
        <v>31</v>
      </c>
    </row>
    <row r="11" ht="33.75" customHeight="1">
      <c r="A11" s="10" t="s">
        <v>32</v>
      </c>
      <c r="B11" s="10" t="s">
        <v>27</v>
      </c>
      <c r="C11" s="11" t="s">
        <v>33</v>
      </c>
      <c r="D11" s="11" t="s">
        <v>29</v>
      </c>
      <c r="E11" s="11" t="s">
        <v>21</v>
      </c>
      <c r="F11" s="11">
        <v>3.0</v>
      </c>
      <c r="G11" s="11" t="s">
        <v>35</v>
      </c>
      <c r="H11" s="11" t="s">
        <v>23</v>
      </c>
      <c r="I11" s="11"/>
      <c r="J11" s="11" t="s">
        <v>36</v>
      </c>
    </row>
    <row r="12" ht="33.75" customHeight="1">
      <c r="A12" s="10" t="s">
        <v>37</v>
      </c>
      <c r="B12" s="15" t="s">
        <v>27</v>
      </c>
      <c r="C12" s="11" t="s">
        <v>38</v>
      </c>
      <c r="D12" s="11" t="s">
        <v>29</v>
      </c>
      <c r="E12" s="11" t="s">
        <v>39</v>
      </c>
      <c r="F12" s="11">
        <v>2.0</v>
      </c>
      <c r="G12" s="11" t="s">
        <v>35</v>
      </c>
      <c r="H12" s="11" t="s">
        <v>23</v>
      </c>
      <c r="I12" s="11"/>
      <c r="J12" s="11" t="s">
        <v>40</v>
      </c>
    </row>
    <row r="13" ht="33.75" customHeight="1">
      <c r="A13" s="10" t="s">
        <v>41</v>
      </c>
      <c r="B13" s="11" t="s">
        <v>27</v>
      </c>
      <c r="C13" s="11" t="s">
        <v>42</v>
      </c>
      <c r="D13" s="11" t="s">
        <v>29</v>
      </c>
      <c r="E13" s="11" t="s">
        <v>39</v>
      </c>
      <c r="F13" s="11">
        <v>3.0</v>
      </c>
      <c r="G13" s="11" t="s">
        <v>35</v>
      </c>
      <c r="H13" s="11" t="s">
        <v>44</v>
      </c>
      <c r="I13" s="11"/>
      <c r="J13" s="11" t="s">
        <v>45</v>
      </c>
    </row>
    <row r="14" ht="33.75" customHeight="1">
      <c r="A14" s="10" t="s">
        <v>47</v>
      </c>
      <c r="B14" s="11" t="s">
        <v>27</v>
      </c>
      <c r="C14" s="11" t="s">
        <v>49</v>
      </c>
      <c r="D14" s="11" t="s">
        <v>29</v>
      </c>
      <c r="E14" s="11" t="s">
        <v>21</v>
      </c>
      <c r="F14" s="11">
        <v>1.0</v>
      </c>
      <c r="G14" s="11" t="s">
        <v>35</v>
      </c>
      <c r="H14" s="11" t="s">
        <v>23</v>
      </c>
      <c r="I14" s="11"/>
      <c r="J14" s="11" t="s">
        <v>51</v>
      </c>
    </row>
    <row r="15" ht="33.75" customHeight="1">
      <c r="A15" s="10" t="s">
        <v>52</v>
      </c>
      <c r="B15" s="11" t="s">
        <v>53</v>
      </c>
      <c r="C15" s="11" t="s">
        <v>55</v>
      </c>
      <c r="D15" s="11" t="s">
        <v>19</v>
      </c>
      <c r="E15" s="11" t="s">
        <v>21</v>
      </c>
      <c r="F15" s="11">
        <v>5.0</v>
      </c>
      <c r="G15" s="11" t="s">
        <v>35</v>
      </c>
      <c r="H15" s="11" t="s">
        <v>23</v>
      </c>
      <c r="I15" s="11"/>
      <c r="J15" s="11" t="s">
        <v>57</v>
      </c>
    </row>
    <row r="16" ht="33.75" customHeight="1">
      <c r="A16" s="10" t="s">
        <v>58</v>
      </c>
      <c r="B16" s="11" t="s">
        <v>59</v>
      </c>
      <c r="C16" s="11" t="s">
        <v>61</v>
      </c>
      <c r="D16" s="11" t="s">
        <v>29</v>
      </c>
      <c r="E16" s="11" t="s">
        <v>21</v>
      </c>
      <c r="F16" s="11">
        <v>3.0</v>
      </c>
      <c r="G16" s="11" t="s">
        <v>35</v>
      </c>
      <c r="H16" s="11" t="s">
        <v>23</v>
      </c>
      <c r="I16" s="11"/>
      <c r="J16" s="11" t="s">
        <v>64</v>
      </c>
    </row>
    <row r="17" ht="33.75" customHeight="1">
      <c r="A17" s="10" t="s">
        <v>65</v>
      </c>
      <c r="B17" s="11" t="s">
        <v>59</v>
      </c>
      <c r="C17" s="11" t="s">
        <v>66</v>
      </c>
      <c r="D17" s="11" t="s">
        <v>29</v>
      </c>
      <c r="E17" s="11" t="s">
        <v>39</v>
      </c>
      <c r="F17" s="11">
        <v>3.0</v>
      </c>
      <c r="G17" s="11" t="s">
        <v>35</v>
      </c>
      <c r="H17" s="11" t="s">
        <v>23</v>
      </c>
      <c r="I17" s="11"/>
      <c r="J17" s="11" t="s">
        <v>69</v>
      </c>
    </row>
    <row r="18" ht="33.75" customHeight="1">
      <c r="A18" s="10" t="s">
        <v>70</v>
      </c>
      <c r="B18" s="11" t="s">
        <v>59</v>
      </c>
      <c r="C18" s="11" t="s">
        <v>71</v>
      </c>
      <c r="D18" s="11" t="s">
        <v>29</v>
      </c>
      <c r="E18" s="11" t="s">
        <v>39</v>
      </c>
      <c r="F18" s="11">
        <v>2.0</v>
      </c>
      <c r="G18" s="11" t="s">
        <v>35</v>
      </c>
      <c r="H18" s="11" t="s">
        <v>23</v>
      </c>
      <c r="I18" s="11"/>
      <c r="J18" s="11" t="s">
        <v>69</v>
      </c>
    </row>
    <row r="19" ht="33.75" customHeight="1">
      <c r="A19" s="10" t="s">
        <v>74</v>
      </c>
      <c r="B19" s="11" t="s">
        <v>59</v>
      </c>
      <c r="C19" s="11" t="s">
        <v>75</v>
      </c>
      <c r="D19" s="11" t="s">
        <v>29</v>
      </c>
      <c r="E19" s="11" t="s">
        <v>76</v>
      </c>
      <c r="F19" s="11">
        <v>2.0</v>
      </c>
      <c r="G19" s="11" t="s">
        <v>35</v>
      </c>
      <c r="H19" s="11" t="s">
        <v>23</v>
      </c>
      <c r="I19" s="11"/>
      <c r="J19" s="11" t="s">
        <v>79</v>
      </c>
    </row>
    <row r="20" ht="33.75" customHeight="1">
      <c r="A20" s="10" t="s">
        <v>80</v>
      </c>
      <c r="B20" s="11" t="s">
        <v>81</v>
      </c>
      <c r="C20" s="11" t="s">
        <v>82</v>
      </c>
      <c r="D20" s="11" t="s">
        <v>19</v>
      </c>
      <c r="E20" s="11" t="s">
        <v>21</v>
      </c>
      <c r="F20" s="11">
        <v>3.0</v>
      </c>
      <c r="G20" s="11" t="s">
        <v>35</v>
      </c>
      <c r="H20" s="11" t="s">
        <v>23</v>
      </c>
      <c r="I20" s="11"/>
      <c r="J20" s="11" t="s">
        <v>84</v>
      </c>
    </row>
    <row r="21" ht="33.75" customHeight="1">
      <c r="A21" s="10" t="s">
        <v>86</v>
      </c>
      <c r="B21" s="11" t="s">
        <v>87</v>
      </c>
      <c r="C21" s="11" t="s">
        <v>88</v>
      </c>
      <c r="D21" s="11" t="s">
        <v>29</v>
      </c>
      <c r="E21" s="11" t="s">
        <v>21</v>
      </c>
      <c r="F21" s="11">
        <v>3.0</v>
      </c>
      <c r="G21" s="11" t="s">
        <v>35</v>
      </c>
      <c r="H21" s="11" t="s">
        <v>23</v>
      </c>
      <c r="I21" s="11"/>
      <c r="J21" s="11" t="s">
        <v>90</v>
      </c>
    </row>
    <row r="22" ht="33.75" customHeight="1">
      <c r="A22" s="10" t="s">
        <v>92</v>
      </c>
      <c r="B22" s="11" t="s">
        <v>87</v>
      </c>
      <c r="C22" s="11" t="s">
        <v>93</v>
      </c>
      <c r="D22" s="11" t="s">
        <v>29</v>
      </c>
      <c r="E22" s="11" t="s">
        <v>21</v>
      </c>
      <c r="F22" s="11">
        <v>5.0</v>
      </c>
      <c r="G22" s="11" t="s">
        <v>35</v>
      </c>
      <c r="H22" s="11" t="s">
        <v>23</v>
      </c>
      <c r="I22" s="11"/>
      <c r="J22" s="11" t="s">
        <v>96</v>
      </c>
    </row>
    <row r="23" ht="33.75" customHeight="1">
      <c r="A23" s="10" t="s">
        <v>97</v>
      </c>
      <c r="B23" s="11" t="s">
        <v>87</v>
      </c>
      <c r="C23" s="11" t="s">
        <v>98</v>
      </c>
      <c r="D23" s="11" t="s">
        <v>29</v>
      </c>
      <c r="E23" s="11" t="s">
        <v>21</v>
      </c>
      <c r="F23" s="11">
        <v>3.0</v>
      </c>
      <c r="G23" s="11" t="s">
        <v>35</v>
      </c>
      <c r="H23" s="11" t="s">
        <v>23</v>
      </c>
      <c r="I23" s="11"/>
      <c r="J23" s="11" t="s">
        <v>102</v>
      </c>
    </row>
    <row r="24" ht="33.75" customHeight="1">
      <c r="A24" s="10" t="s">
        <v>104</v>
      </c>
      <c r="B24" s="11" t="s">
        <v>87</v>
      </c>
      <c r="C24" s="11" t="s">
        <v>105</v>
      </c>
      <c r="D24" s="11" t="s">
        <v>29</v>
      </c>
      <c r="E24" s="11" t="s">
        <v>39</v>
      </c>
      <c r="F24" s="11">
        <v>3.0</v>
      </c>
      <c r="G24" s="11" t="s">
        <v>35</v>
      </c>
      <c r="H24" s="11" t="s">
        <v>44</v>
      </c>
      <c r="I24" s="11"/>
      <c r="J24" s="11" t="s">
        <v>108</v>
      </c>
    </row>
    <row r="25" ht="33.75" customHeight="1">
      <c r="A25" s="10" t="s">
        <v>109</v>
      </c>
      <c r="B25" s="11" t="s">
        <v>87</v>
      </c>
      <c r="C25" s="11" t="s">
        <v>110</v>
      </c>
      <c r="D25" s="11" t="s">
        <v>29</v>
      </c>
      <c r="E25" s="11" t="s">
        <v>39</v>
      </c>
      <c r="F25" s="11">
        <v>2.0</v>
      </c>
      <c r="G25" s="11" t="s">
        <v>35</v>
      </c>
      <c r="H25" s="11" t="s">
        <v>44</v>
      </c>
      <c r="I25" s="11"/>
      <c r="J25" s="11" t="s">
        <v>113</v>
      </c>
    </row>
    <row r="26" ht="33.75" customHeight="1">
      <c r="A26" s="10" t="s">
        <v>114</v>
      </c>
      <c r="B26" s="11" t="s">
        <v>87</v>
      </c>
      <c r="C26" s="11" t="s">
        <v>116</v>
      </c>
      <c r="D26" s="11" t="s">
        <v>29</v>
      </c>
      <c r="E26" s="11" t="s">
        <v>76</v>
      </c>
      <c r="F26" s="11">
        <v>2.0</v>
      </c>
      <c r="G26" s="11" t="s">
        <v>35</v>
      </c>
      <c r="H26" s="11" t="s">
        <v>44</v>
      </c>
      <c r="I26" s="11"/>
      <c r="J26" s="11" t="s">
        <v>118</v>
      </c>
    </row>
    <row r="27" ht="33.75" customHeight="1">
      <c r="A27" s="10" t="s">
        <v>119</v>
      </c>
      <c r="B27" s="11" t="s">
        <v>87</v>
      </c>
      <c r="C27" s="11" t="s">
        <v>121</v>
      </c>
      <c r="D27" s="11" t="s">
        <v>29</v>
      </c>
      <c r="E27" s="11" t="s">
        <v>39</v>
      </c>
      <c r="F27" s="11">
        <v>3.0</v>
      </c>
      <c r="G27" s="11" t="s">
        <v>35</v>
      </c>
      <c r="H27" s="11" t="s">
        <v>44</v>
      </c>
      <c r="I27" s="11"/>
      <c r="J27" s="11" t="s">
        <v>124</v>
      </c>
    </row>
    <row r="28" ht="33.75" customHeight="1">
      <c r="A28" s="10" t="s">
        <v>126</v>
      </c>
      <c r="B28" s="11" t="s">
        <v>87</v>
      </c>
      <c r="C28" s="11" t="s">
        <v>127</v>
      </c>
      <c r="D28" s="11" t="s">
        <v>29</v>
      </c>
      <c r="E28" s="11" t="s">
        <v>39</v>
      </c>
      <c r="F28" s="11">
        <v>3.0</v>
      </c>
      <c r="G28" s="11" t="s">
        <v>35</v>
      </c>
      <c r="H28" s="11" t="s">
        <v>44</v>
      </c>
      <c r="I28" s="11"/>
      <c r="J28" s="11" t="s">
        <v>130</v>
      </c>
    </row>
    <row r="29" ht="33.75" customHeight="1">
      <c r="A29" s="10" t="s">
        <v>131</v>
      </c>
      <c r="B29" s="11" t="s">
        <v>132</v>
      </c>
      <c r="C29" s="11" t="s">
        <v>133</v>
      </c>
      <c r="D29" s="11" t="s">
        <v>29</v>
      </c>
      <c r="E29" s="11" t="s">
        <v>21</v>
      </c>
      <c r="F29" s="11">
        <v>3.0</v>
      </c>
      <c r="G29" s="11" t="s">
        <v>35</v>
      </c>
      <c r="H29" s="11" t="s">
        <v>23</v>
      </c>
      <c r="I29" s="11"/>
      <c r="J29" s="11" t="s">
        <v>136</v>
      </c>
    </row>
    <row r="30" ht="33.75" customHeight="1">
      <c r="A30" s="10" t="s">
        <v>138</v>
      </c>
      <c r="B30" s="11" t="s">
        <v>132</v>
      </c>
      <c r="C30" s="11" t="s">
        <v>140</v>
      </c>
      <c r="D30" s="11" t="s">
        <v>29</v>
      </c>
      <c r="E30" s="11" t="s">
        <v>39</v>
      </c>
      <c r="F30" s="11">
        <v>2.0</v>
      </c>
      <c r="G30" s="11" t="s">
        <v>35</v>
      </c>
      <c r="H30" s="11" t="s">
        <v>44</v>
      </c>
      <c r="I30" s="11"/>
      <c r="J30" s="11" t="s">
        <v>144</v>
      </c>
    </row>
    <row r="31" ht="33.75" customHeight="1">
      <c r="A31" s="10" t="s">
        <v>146</v>
      </c>
      <c r="B31" s="11" t="s">
        <v>132</v>
      </c>
      <c r="C31" s="11" t="s">
        <v>148</v>
      </c>
      <c r="D31" s="11" t="s">
        <v>29</v>
      </c>
      <c r="E31" s="11" t="s">
        <v>76</v>
      </c>
      <c r="F31" s="11">
        <v>2.0</v>
      </c>
      <c r="G31" s="11" t="s">
        <v>35</v>
      </c>
      <c r="H31" s="11" t="s">
        <v>44</v>
      </c>
      <c r="I31" s="11"/>
      <c r="J31" s="11" t="s">
        <v>153</v>
      </c>
    </row>
    <row r="32" ht="33.75" customHeight="1">
      <c r="A32" s="10" t="s">
        <v>154</v>
      </c>
      <c r="B32" s="11" t="s">
        <v>132</v>
      </c>
      <c r="C32" s="11" t="s">
        <v>156</v>
      </c>
      <c r="D32" s="11" t="s">
        <v>29</v>
      </c>
      <c r="E32" s="11" t="s">
        <v>76</v>
      </c>
      <c r="F32" s="11">
        <v>2.0</v>
      </c>
      <c r="G32" s="11" t="s">
        <v>35</v>
      </c>
      <c r="H32" s="11" t="s">
        <v>44</v>
      </c>
      <c r="I32" s="11"/>
      <c r="J32" s="11" t="s">
        <v>160</v>
      </c>
    </row>
    <row r="33" ht="33.75" customHeight="1">
      <c r="A33" s="10" t="s">
        <v>161</v>
      </c>
      <c r="B33" s="11" t="s">
        <v>163</v>
      </c>
      <c r="C33" s="11" t="s">
        <v>164</v>
      </c>
      <c r="D33" s="11" t="s">
        <v>19</v>
      </c>
      <c r="E33" s="11" t="s">
        <v>21</v>
      </c>
      <c r="F33" s="11">
        <v>5.0</v>
      </c>
      <c r="G33" s="11" t="s">
        <v>35</v>
      </c>
      <c r="H33" s="11" t="s">
        <v>23</v>
      </c>
      <c r="I33" s="11"/>
      <c r="J33" s="11" t="s">
        <v>170</v>
      </c>
    </row>
    <row r="34" ht="33.75" customHeight="1">
      <c r="A34" s="10" t="s">
        <v>171</v>
      </c>
      <c r="B34" s="11" t="s">
        <v>139</v>
      </c>
      <c r="C34" s="11" t="s">
        <v>173</v>
      </c>
      <c r="D34" s="11" t="s">
        <v>19</v>
      </c>
      <c r="E34" s="11" t="s">
        <v>21</v>
      </c>
      <c r="F34" s="11">
        <v>8.0</v>
      </c>
      <c r="G34" s="11" t="s">
        <v>35</v>
      </c>
      <c r="H34" s="11" t="s">
        <v>44</v>
      </c>
      <c r="I34" s="11"/>
      <c r="J34" s="11" t="s">
        <v>177</v>
      </c>
    </row>
    <row r="35" ht="33.75" customHeight="1">
      <c r="A35" s="10" t="s">
        <v>137</v>
      </c>
      <c r="B35" s="11" t="s">
        <v>139</v>
      </c>
      <c r="C35" s="11" t="s">
        <v>141</v>
      </c>
      <c r="D35" s="11" t="s">
        <v>29</v>
      </c>
      <c r="E35" s="11" t="s">
        <v>21</v>
      </c>
      <c r="F35" s="11">
        <v>5.0</v>
      </c>
      <c r="G35" s="11" t="s">
        <v>35</v>
      </c>
      <c r="H35" s="11" t="s">
        <v>44</v>
      </c>
      <c r="I35" s="11"/>
      <c r="J35" s="11" t="s">
        <v>180</v>
      </c>
    </row>
    <row r="36" ht="33.75" customHeight="1">
      <c r="A36" s="10" t="s">
        <v>145</v>
      </c>
      <c r="B36" s="11" t="s">
        <v>139</v>
      </c>
      <c r="C36" s="11" t="s">
        <v>147</v>
      </c>
      <c r="D36" s="11" t="s">
        <v>29</v>
      </c>
      <c r="E36" s="11" t="s">
        <v>21</v>
      </c>
      <c r="F36" s="11">
        <v>3.0</v>
      </c>
      <c r="G36" s="11" t="s">
        <v>35</v>
      </c>
      <c r="H36" s="11" t="s">
        <v>44</v>
      </c>
      <c r="I36" s="11"/>
      <c r="J36" s="11" t="s">
        <v>183</v>
      </c>
    </row>
    <row r="37" ht="33.75" customHeight="1">
      <c r="A37" s="10" t="s">
        <v>151</v>
      </c>
      <c r="B37" s="11" t="s">
        <v>139</v>
      </c>
      <c r="C37" s="11" t="s">
        <v>152</v>
      </c>
      <c r="D37" s="11" t="s">
        <v>29</v>
      </c>
      <c r="E37" s="11" t="s">
        <v>21</v>
      </c>
      <c r="F37" s="11">
        <v>3.0</v>
      </c>
      <c r="G37" s="11" t="s">
        <v>35</v>
      </c>
      <c r="H37" s="11" t="s">
        <v>44</v>
      </c>
      <c r="I37" s="11"/>
      <c r="J37" s="11" t="s">
        <v>188</v>
      </c>
    </row>
    <row r="38" ht="33.75" customHeight="1">
      <c r="A38" s="10" t="s">
        <v>158</v>
      </c>
      <c r="B38" s="11" t="s">
        <v>139</v>
      </c>
      <c r="C38" s="11" t="s">
        <v>159</v>
      </c>
      <c r="D38" s="11" t="s">
        <v>29</v>
      </c>
      <c r="E38" s="11" t="s">
        <v>39</v>
      </c>
      <c r="F38" s="11">
        <v>2.0</v>
      </c>
      <c r="G38" s="11" t="s">
        <v>35</v>
      </c>
      <c r="H38" s="11" t="s">
        <v>44</v>
      </c>
      <c r="I38" s="11"/>
      <c r="J38" s="11" t="s">
        <v>194</v>
      </c>
    </row>
    <row r="39" ht="33.75" customHeight="1">
      <c r="A39" s="10" t="s">
        <v>166</v>
      </c>
      <c r="B39" s="11" t="s">
        <v>139</v>
      </c>
      <c r="C39" s="11" t="s">
        <v>167</v>
      </c>
      <c r="D39" s="11" t="s">
        <v>29</v>
      </c>
      <c r="E39" s="11" t="s">
        <v>39</v>
      </c>
      <c r="F39" s="11">
        <v>3.0</v>
      </c>
      <c r="G39" s="11" t="s">
        <v>35</v>
      </c>
      <c r="H39" s="11" t="s">
        <v>44</v>
      </c>
      <c r="I39" s="11"/>
      <c r="J39" s="11" t="s">
        <v>199</v>
      </c>
    </row>
    <row r="40" ht="33.75" customHeight="1">
      <c r="A40" s="10" t="s">
        <v>200</v>
      </c>
      <c r="B40" s="11" t="s">
        <v>139</v>
      </c>
      <c r="C40" s="11" t="s">
        <v>202</v>
      </c>
      <c r="D40" s="11" t="s">
        <v>19</v>
      </c>
      <c r="E40" s="11" t="s">
        <v>21</v>
      </c>
      <c r="F40" s="11">
        <v>5.0</v>
      </c>
      <c r="G40" s="11" t="s">
        <v>35</v>
      </c>
      <c r="H40" s="11" t="s">
        <v>44</v>
      </c>
      <c r="I40" s="11"/>
      <c r="J40" s="11" t="s">
        <v>206</v>
      </c>
    </row>
    <row r="41" ht="33.75" customHeight="1">
      <c r="A41" s="10" t="s">
        <v>172</v>
      </c>
      <c r="B41" s="11" t="s">
        <v>139</v>
      </c>
      <c r="C41" s="11" t="s">
        <v>174</v>
      </c>
      <c r="D41" s="11" t="s">
        <v>29</v>
      </c>
      <c r="E41" s="11" t="s">
        <v>21</v>
      </c>
      <c r="F41" s="11">
        <v>5.0</v>
      </c>
      <c r="G41" s="11" t="s">
        <v>35</v>
      </c>
      <c r="H41" s="11" t="s">
        <v>44</v>
      </c>
      <c r="I41" s="11"/>
      <c r="J41" s="11" t="s">
        <v>213</v>
      </c>
    </row>
    <row r="42" ht="33.75" customHeight="1">
      <c r="A42" s="10" t="s">
        <v>215</v>
      </c>
      <c r="B42" s="11" t="s">
        <v>216</v>
      </c>
      <c r="C42" s="11" t="s">
        <v>218</v>
      </c>
      <c r="D42" s="11" t="s">
        <v>19</v>
      </c>
      <c r="E42" s="11" t="s">
        <v>21</v>
      </c>
      <c r="F42" s="11">
        <v>8.0</v>
      </c>
      <c r="G42" s="11" t="s">
        <v>35</v>
      </c>
      <c r="H42" s="11" t="s">
        <v>44</v>
      </c>
      <c r="I42" s="11"/>
      <c r="J42" s="11" t="s">
        <v>223</v>
      </c>
    </row>
    <row r="43" ht="33.75" customHeight="1">
      <c r="A43" s="10" t="s">
        <v>225</v>
      </c>
      <c r="B43" s="11" t="s">
        <v>216</v>
      </c>
      <c r="C43" s="11" t="s">
        <v>227</v>
      </c>
      <c r="D43" s="11" t="s">
        <v>19</v>
      </c>
      <c r="E43" s="11" t="s">
        <v>21</v>
      </c>
      <c r="F43" s="11">
        <v>5.0</v>
      </c>
      <c r="G43" s="11" t="s">
        <v>35</v>
      </c>
      <c r="H43" s="11" t="s">
        <v>44</v>
      </c>
      <c r="I43" s="11"/>
      <c r="J43" s="11" t="s">
        <v>230</v>
      </c>
    </row>
    <row r="44" ht="33.75" customHeight="1">
      <c r="A44" s="10" t="s">
        <v>189</v>
      </c>
      <c r="B44" s="11" t="s">
        <v>190</v>
      </c>
      <c r="C44" s="11" t="s">
        <v>191</v>
      </c>
      <c r="D44" s="11" t="s">
        <v>29</v>
      </c>
      <c r="E44" s="11" t="s">
        <v>21</v>
      </c>
      <c r="F44" s="11">
        <v>2.0</v>
      </c>
      <c r="G44" s="11" t="s">
        <v>35</v>
      </c>
      <c r="H44" s="11" t="s">
        <v>44</v>
      </c>
      <c r="I44" s="11"/>
      <c r="J44" s="11" t="s">
        <v>236</v>
      </c>
    </row>
    <row r="45" ht="33.75" customHeight="1">
      <c r="A45" s="10" t="s">
        <v>195</v>
      </c>
      <c r="B45" s="11" t="s">
        <v>190</v>
      </c>
      <c r="C45" s="11" t="s">
        <v>196</v>
      </c>
      <c r="D45" s="11" t="s">
        <v>29</v>
      </c>
      <c r="E45" s="11" t="s">
        <v>21</v>
      </c>
      <c r="F45" s="11">
        <v>5.0</v>
      </c>
      <c r="G45" s="11" t="s">
        <v>35</v>
      </c>
      <c r="H45" s="11" t="s">
        <v>44</v>
      </c>
      <c r="I45" s="11"/>
      <c r="J45" s="11" t="s">
        <v>243</v>
      </c>
    </row>
    <row r="46" ht="33.75" customHeight="1">
      <c r="A46" s="10" t="s">
        <v>201</v>
      </c>
      <c r="B46" s="11" t="s">
        <v>190</v>
      </c>
      <c r="C46" s="11" t="s">
        <v>203</v>
      </c>
      <c r="D46" s="11" t="s">
        <v>29</v>
      </c>
      <c r="E46" s="11" t="s">
        <v>39</v>
      </c>
      <c r="F46" s="11">
        <v>5.0</v>
      </c>
      <c r="G46" s="11" t="s">
        <v>35</v>
      </c>
      <c r="H46" s="11" t="s">
        <v>44</v>
      </c>
      <c r="I46" s="11"/>
      <c r="J46" s="11" t="s">
        <v>249</v>
      </c>
    </row>
    <row r="47" ht="33.75" customHeight="1">
      <c r="A47" s="10" t="s">
        <v>250</v>
      </c>
      <c r="B47" s="11" t="s">
        <v>190</v>
      </c>
      <c r="C47" s="11" t="s">
        <v>252</v>
      </c>
      <c r="D47" s="11" t="s">
        <v>254</v>
      </c>
      <c r="E47" s="11" t="s">
        <v>39</v>
      </c>
      <c r="F47" s="11">
        <v>2.0</v>
      </c>
      <c r="G47" s="11" t="s">
        <v>35</v>
      </c>
      <c r="H47" s="11" t="s">
        <v>44</v>
      </c>
      <c r="I47" s="11"/>
      <c r="J47" s="11" t="s">
        <v>256</v>
      </c>
    </row>
    <row r="48" ht="33.75" customHeight="1">
      <c r="A48" s="10" t="s">
        <v>257</v>
      </c>
      <c r="B48" s="11" t="s">
        <v>190</v>
      </c>
      <c r="C48" s="11" t="s">
        <v>258</v>
      </c>
      <c r="D48" s="11" t="s">
        <v>19</v>
      </c>
      <c r="E48" s="11" t="s">
        <v>39</v>
      </c>
      <c r="F48" s="11">
        <v>3.0</v>
      </c>
      <c r="G48" s="11" t="s">
        <v>35</v>
      </c>
      <c r="H48" s="11" t="s">
        <v>44</v>
      </c>
      <c r="I48" s="11"/>
      <c r="J48" s="11" t="s">
        <v>259</v>
      </c>
    </row>
    <row r="49" ht="33.75" customHeight="1">
      <c r="A49" s="10" t="s">
        <v>207</v>
      </c>
      <c r="B49" s="11" t="s">
        <v>190</v>
      </c>
      <c r="C49" s="11" t="s">
        <v>208</v>
      </c>
      <c r="D49" s="11" t="s">
        <v>29</v>
      </c>
      <c r="E49" s="11" t="s">
        <v>39</v>
      </c>
      <c r="F49" s="11">
        <v>3.0</v>
      </c>
      <c r="G49" s="11" t="s">
        <v>35</v>
      </c>
      <c r="H49" s="11" t="s">
        <v>44</v>
      </c>
      <c r="I49" s="11"/>
      <c r="J49" s="11" t="s">
        <v>260</v>
      </c>
    </row>
    <row r="50" ht="33.75" customHeight="1">
      <c r="A50" s="10" t="s">
        <v>261</v>
      </c>
      <c r="B50" s="11" t="s">
        <v>212</v>
      </c>
      <c r="C50" s="11" t="s">
        <v>262</v>
      </c>
      <c r="D50" s="11" t="s">
        <v>254</v>
      </c>
      <c r="E50" s="11" t="s">
        <v>21</v>
      </c>
      <c r="F50" s="11">
        <v>3.0</v>
      </c>
      <c r="G50" s="11" t="s">
        <v>35</v>
      </c>
      <c r="H50" s="11" t="s">
        <v>44</v>
      </c>
      <c r="I50" s="11" t="s">
        <v>44</v>
      </c>
      <c r="J50" s="11" t="s">
        <v>263</v>
      </c>
    </row>
    <row r="51" ht="33.75" customHeight="1">
      <c r="A51" s="10" t="s">
        <v>264</v>
      </c>
      <c r="B51" s="11" t="s">
        <v>212</v>
      </c>
      <c r="C51" s="11" t="s">
        <v>265</v>
      </c>
      <c r="D51" s="11" t="s">
        <v>19</v>
      </c>
      <c r="E51" s="11" t="s">
        <v>21</v>
      </c>
      <c r="F51" s="11">
        <v>8.0</v>
      </c>
      <c r="G51" s="11" t="s">
        <v>35</v>
      </c>
      <c r="H51" s="11" t="s">
        <v>44</v>
      </c>
      <c r="I51" s="11" t="s">
        <v>44</v>
      </c>
      <c r="J51" s="11" t="s">
        <v>266</v>
      </c>
    </row>
    <row r="52" ht="33.75" customHeight="1">
      <c r="A52" s="10" t="s">
        <v>267</v>
      </c>
      <c r="B52" s="11" t="s">
        <v>212</v>
      </c>
      <c r="C52" s="11" t="s">
        <v>268</v>
      </c>
      <c r="D52" s="11" t="s">
        <v>19</v>
      </c>
      <c r="E52" s="11" t="s">
        <v>21</v>
      </c>
      <c r="F52" s="11">
        <v>8.0</v>
      </c>
      <c r="G52" s="11" t="s">
        <v>35</v>
      </c>
      <c r="H52" s="11" t="s">
        <v>44</v>
      </c>
      <c r="I52" s="11" t="s">
        <v>44</v>
      </c>
      <c r="J52" s="11" t="s">
        <v>269</v>
      </c>
    </row>
    <row r="53" ht="33.75" customHeight="1">
      <c r="A53" s="10" t="s">
        <v>211</v>
      </c>
      <c r="B53" s="11" t="s">
        <v>212</v>
      </c>
      <c r="C53" s="11" t="s">
        <v>214</v>
      </c>
      <c r="D53" s="11" t="s">
        <v>29</v>
      </c>
      <c r="E53" s="11" t="s">
        <v>21</v>
      </c>
      <c r="F53" s="11">
        <v>8.0</v>
      </c>
      <c r="G53" s="11" t="s">
        <v>35</v>
      </c>
      <c r="H53" s="11" t="s">
        <v>44</v>
      </c>
      <c r="I53" s="11" t="s">
        <v>44</v>
      </c>
      <c r="J53" s="11" t="s">
        <v>270</v>
      </c>
    </row>
    <row r="54" ht="33.75" customHeight="1">
      <c r="A54" s="10" t="s">
        <v>221</v>
      </c>
      <c r="B54" s="11" t="s">
        <v>212</v>
      </c>
      <c r="C54" s="11" t="s">
        <v>222</v>
      </c>
      <c r="D54" s="11" t="s">
        <v>29</v>
      </c>
      <c r="E54" s="11" t="s">
        <v>21</v>
      </c>
      <c r="F54" s="11">
        <v>3.0</v>
      </c>
      <c r="G54" s="11" t="s">
        <v>35</v>
      </c>
      <c r="H54" s="11" t="s">
        <v>44</v>
      </c>
      <c r="I54" s="11" t="s">
        <v>44</v>
      </c>
      <c r="J54" s="11" t="s">
        <v>271</v>
      </c>
    </row>
    <row r="55" ht="33.75" customHeight="1">
      <c r="A55" s="10" t="s">
        <v>228</v>
      </c>
      <c r="B55" s="11" t="s">
        <v>212</v>
      </c>
      <c r="C55" s="11" t="s">
        <v>229</v>
      </c>
      <c r="D55" s="11" t="s">
        <v>29</v>
      </c>
      <c r="E55" s="11" t="s">
        <v>21</v>
      </c>
      <c r="F55" s="11">
        <v>5.0</v>
      </c>
      <c r="G55" s="11" t="s">
        <v>35</v>
      </c>
      <c r="H55" s="11" t="s">
        <v>44</v>
      </c>
      <c r="I55" s="11" t="s">
        <v>44</v>
      </c>
      <c r="J55" s="11" t="s">
        <v>272</v>
      </c>
    </row>
    <row r="56" ht="33.75" customHeight="1">
      <c r="A56" s="10" t="s">
        <v>233</v>
      </c>
      <c r="B56" s="11" t="s">
        <v>212</v>
      </c>
      <c r="C56" s="11" t="s">
        <v>234</v>
      </c>
      <c r="D56" s="11" t="s">
        <v>29</v>
      </c>
      <c r="E56" s="11" t="s">
        <v>39</v>
      </c>
      <c r="F56" s="11">
        <v>3.0</v>
      </c>
      <c r="G56" s="11" t="s">
        <v>35</v>
      </c>
      <c r="H56" s="11" t="s">
        <v>44</v>
      </c>
      <c r="I56" s="11" t="s">
        <v>44</v>
      </c>
      <c r="J56" s="11" t="s">
        <v>273</v>
      </c>
    </row>
    <row r="57" ht="33.75" customHeight="1">
      <c r="A57" s="10" t="s">
        <v>274</v>
      </c>
      <c r="B57" s="11" t="s">
        <v>239</v>
      </c>
      <c r="C57" s="11" t="s">
        <v>275</v>
      </c>
      <c r="D57" s="11" t="s">
        <v>19</v>
      </c>
      <c r="E57" s="11" t="s">
        <v>21</v>
      </c>
      <c r="F57" s="11">
        <v>5.0</v>
      </c>
      <c r="G57" s="11" t="s">
        <v>35</v>
      </c>
      <c r="H57" s="11" t="s">
        <v>44</v>
      </c>
      <c r="I57" s="11" t="s">
        <v>44</v>
      </c>
      <c r="J57" s="11" t="s">
        <v>276</v>
      </c>
    </row>
    <row r="58" ht="33.75" customHeight="1">
      <c r="A58" s="10" t="s">
        <v>238</v>
      </c>
      <c r="B58" s="11" t="s">
        <v>239</v>
      </c>
      <c r="C58" s="11" t="s">
        <v>240</v>
      </c>
      <c r="D58" s="11" t="s">
        <v>29</v>
      </c>
      <c r="E58" s="11" t="s">
        <v>39</v>
      </c>
      <c r="F58" s="11">
        <v>3.0</v>
      </c>
      <c r="G58" s="11" t="s">
        <v>35</v>
      </c>
      <c r="H58" s="11" t="s">
        <v>44</v>
      </c>
      <c r="I58" s="11" t="s">
        <v>44</v>
      </c>
      <c r="J58" s="11" t="s">
        <v>277</v>
      </c>
    </row>
    <row r="59" ht="33.75" customHeight="1">
      <c r="A59" s="10" t="s">
        <v>244</v>
      </c>
      <c r="B59" s="11" t="s">
        <v>239</v>
      </c>
      <c r="C59" s="11" t="s">
        <v>245</v>
      </c>
      <c r="D59" s="11" t="s">
        <v>29</v>
      </c>
      <c r="E59" s="11" t="s">
        <v>39</v>
      </c>
      <c r="F59" s="11">
        <v>5.0</v>
      </c>
      <c r="G59" s="11" t="s">
        <v>35</v>
      </c>
      <c r="H59" s="11" t="s">
        <v>44</v>
      </c>
      <c r="I59" s="11" t="s">
        <v>44</v>
      </c>
      <c r="J59" s="11" t="s">
        <v>278</v>
      </c>
    </row>
    <row r="60" ht="33.75" customHeight="1">
      <c r="A60" s="10" t="s">
        <v>248</v>
      </c>
      <c r="B60" s="11" t="s">
        <v>239</v>
      </c>
      <c r="C60" s="11" t="s">
        <v>251</v>
      </c>
      <c r="D60" s="11" t="s">
        <v>29</v>
      </c>
      <c r="E60" s="11" t="s">
        <v>39</v>
      </c>
      <c r="F60" s="11">
        <v>5.0</v>
      </c>
      <c r="G60" s="11" t="s">
        <v>35</v>
      </c>
      <c r="H60" s="11" t="s">
        <v>44</v>
      </c>
      <c r="I60" s="11" t="s">
        <v>44</v>
      </c>
      <c r="J60" s="11" t="s">
        <v>279</v>
      </c>
    </row>
    <row r="61" ht="33.75" customHeight="1">
      <c r="A61" s="10" t="s">
        <v>280</v>
      </c>
      <c r="B61" s="11" t="s">
        <v>281</v>
      </c>
      <c r="C61" s="11" t="s">
        <v>282</v>
      </c>
      <c r="D61" s="11" t="s">
        <v>19</v>
      </c>
      <c r="E61" s="11" t="s">
        <v>21</v>
      </c>
      <c r="F61" s="11">
        <v>5.0</v>
      </c>
      <c r="G61" s="11" t="s">
        <v>35</v>
      </c>
      <c r="H61" s="11" t="s">
        <v>44</v>
      </c>
      <c r="I61" s="11" t="s">
        <v>44</v>
      </c>
      <c r="J61" s="11" t="s">
        <v>283</v>
      </c>
    </row>
    <row r="62" ht="21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</row>
    <row r="63" ht="21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</row>
    <row r="64" ht="21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</row>
    <row r="65" ht="21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</row>
    <row r="66" ht="21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</row>
    <row r="67" ht="21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</row>
    <row r="68" ht="21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</row>
    <row r="69" ht="21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</row>
    <row r="70" ht="21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</row>
    <row r="71" ht="21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</row>
    <row r="72" ht="21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</row>
    <row r="73" ht="21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</row>
    <row r="74" ht="21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</row>
    <row r="75" ht="21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</row>
    <row r="76" ht="21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</row>
    <row r="77" ht="21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</row>
    <row r="78" ht="21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</row>
    <row r="79" ht="21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</row>
    <row r="80" ht="21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</row>
    <row r="81" ht="21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</row>
    <row r="82" ht="21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</row>
    <row r="83" ht="21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</row>
    <row r="84" ht="21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</row>
    <row r="85" ht="21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</row>
    <row r="86" ht="21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</row>
    <row r="87" ht="21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</row>
    <row r="88" ht="21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</row>
    <row r="89" ht="21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</row>
    <row r="90" ht="21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</row>
    <row r="91" ht="21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</row>
    <row r="92" ht="21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</row>
    <row r="93" ht="21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</row>
    <row r="94" ht="21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</row>
    <row r="95" ht="21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</row>
    <row r="96" ht="21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</row>
    <row r="97" ht="21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</row>
    <row r="98" ht="21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</row>
    <row r="99" ht="21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</row>
    <row r="100" ht="21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</row>
    <row r="101" ht="21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</row>
    <row r="102" ht="21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</row>
    <row r="103" ht="21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</row>
    <row r="104" ht="21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</row>
    <row r="105" ht="21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</row>
    <row r="106" ht="21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</row>
    <row r="107" ht="21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</row>
    <row r="108" ht="21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J1"/>
    <mergeCell ref="A2:J2"/>
    <mergeCell ref="A6:J6"/>
  </mergeCells>
  <conditionalFormatting sqref="E9:E61">
    <cfRule type="expression" dxfId="1" priority="1">
      <formula>E9="Alta"</formula>
    </cfRule>
  </conditionalFormatting>
  <conditionalFormatting sqref="E9:E61">
    <cfRule type="expression" dxfId="2" priority="2">
      <formula>E9="Media"</formula>
    </cfRule>
  </conditionalFormatting>
  <conditionalFormatting sqref="E9:E61">
    <cfRule type="expression" dxfId="3" priority="3">
      <formula>E9="Baja"</formula>
    </cfRule>
  </conditionalFormatting>
  <conditionalFormatting sqref="E9:E108">
    <cfRule type="expression" dxfId="4" priority="4">
      <formula>E9="Alta"</formula>
    </cfRule>
  </conditionalFormatting>
  <conditionalFormatting sqref="E9:E108">
    <cfRule type="expression" dxfId="5" priority="5">
      <formula>E9="Media"</formula>
    </cfRule>
  </conditionalFormatting>
  <conditionalFormatting sqref="E9:E108">
    <cfRule type="expression" dxfId="6" priority="6">
      <formula>E9="Baja"</formula>
    </cfRule>
  </conditionalFormatting>
  <conditionalFormatting sqref="G9:G61">
    <cfRule type="expression" dxfId="7" priority="7">
      <formula>G9="Done"</formula>
    </cfRule>
  </conditionalFormatting>
  <conditionalFormatting sqref="G9:G61">
    <cfRule type="expression" dxfId="8" priority="8">
      <formula>G9="Ready"</formula>
    </cfRule>
  </conditionalFormatting>
  <conditionalFormatting sqref="G9:G61">
    <cfRule type="expression" dxfId="2" priority="9">
      <formula>G9="In Progress"</formula>
    </cfRule>
  </conditionalFormatting>
  <conditionalFormatting sqref="G9:G61">
    <cfRule type="expression" dxfId="9" priority="10">
      <formula>G9="Blocked"</formula>
    </cfRule>
  </conditionalFormatting>
  <conditionalFormatting sqref="G9:G108">
    <cfRule type="expression" dxfId="10" priority="11">
      <formula>G9="In Progress"</formula>
    </cfRule>
  </conditionalFormatting>
  <conditionalFormatting sqref="G9:G108">
    <cfRule type="expression" dxfId="11" priority="12">
      <formula>G9="Review"</formula>
    </cfRule>
  </conditionalFormatting>
  <conditionalFormatting sqref="G9:G108">
    <cfRule type="expression" dxfId="12" priority="13">
      <formula>G9="Done"</formula>
    </cfRule>
  </conditionalFormatting>
  <dataValidations>
    <dataValidation type="list" allowBlank="1" sqref="H62:H108">
      <formula1>"No asignado,Sprint 1,Sprint 2"</formula1>
    </dataValidation>
    <dataValidation type="list" allowBlank="1" sqref="E9:E108">
      <formula1>"Alta,Media,Baja"</formula1>
    </dataValidation>
    <dataValidation type="list" allowBlank="1" sqref="F9:F108">
      <formula1>"1,2,3,5,8"</formula1>
    </dataValidation>
    <dataValidation type="list" allowBlank="1" sqref="D62:D108">
      <formula1>"Historia de Usuario,Tarea Técnica,Bug"</formula1>
    </dataValidation>
    <dataValidation type="list" allowBlank="1" sqref="D9:D61">
      <formula1>"Historia de Usuario,Tarea Técnica,Spike,Bug"</formula1>
    </dataValidation>
    <dataValidation type="list" allowBlank="1" sqref="G9:G61">
      <formula1>"Backlog,Ready,In Progress,Review,Done,Blocked"</formula1>
    </dataValidation>
    <dataValidation type="list" allowBlank="1" sqref="I9:I61">
      <formula1>"José Oporto,Luciano Sambuceti,Por definir"</formula1>
    </dataValidation>
    <dataValidation type="list" allowBlank="1" sqref="G62:G108">
      <formula1>"Backlog,Ready,In Progress,Review,Done"</formula1>
    </dataValidation>
    <dataValidation type="list" allowBlank="1" sqref="I62:I108">
      <formula1>"Sin asignar,José Oporto,Luciano Sambuceti,Ambos"</formula1>
    </dataValidation>
    <dataValidation type="list" allowBlank="1" sqref="H9:H61">
      <formula1>"Sprint 1,Sprint 2,Sprint 3,Por definir"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2.0"/>
    <col customWidth="1" min="3" max="3" width="30.0"/>
    <col customWidth="1" min="4" max="4" width="48.0"/>
    <col customWidth="1" min="5" max="5" width="56.0"/>
    <col customWidth="1" min="6" max="6" width="26.0"/>
  </cols>
  <sheetData>
    <row r="1" ht="30.0" customHeight="1">
      <c r="A1" s="1" t="s">
        <v>20</v>
      </c>
      <c r="B1" s="2"/>
      <c r="C1" s="2"/>
      <c r="D1" s="3"/>
      <c r="E1" s="13"/>
      <c r="F1" s="13"/>
    </row>
    <row r="2" ht="27.75" customHeight="1">
      <c r="A2" s="14" t="s">
        <v>34</v>
      </c>
      <c r="B2" s="2"/>
      <c r="C2" s="2"/>
      <c r="D2" s="3"/>
      <c r="E2" s="16"/>
      <c r="F2" s="16"/>
    </row>
    <row r="3" ht="14.25" customHeight="1">
      <c r="A3" s="5"/>
      <c r="B3" s="5"/>
      <c r="C3" s="5"/>
      <c r="D3" s="5"/>
      <c r="E3" s="5"/>
      <c r="F3" s="5"/>
    </row>
    <row r="4" ht="27.75" customHeight="1">
      <c r="A4" s="17" t="s">
        <v>6</v>
      </c>
      <c r="B4" s="17" t="s">
        <v>7</v>
      </c>
      <c r="C4" s="17" t="s">
        <v>43</v>
      </c>
      <c r="D4" s="17" t="s">
        <v>29</v>
      </c>
      <c r="E4" s="17" t="s">
        <v>46</v>
      </c>
      <c r="F4" s="17" t="s">
        <v>48</v>
      </c>
    </row>
    <row r="5" ht="72.0" customHeight="1">
      <c r="A5" s="18" t="s">
        <v>32</v>
      </c>
      <c r="B5" s="18" t="s">
        <v>27</v>
      </c>
      <c r="C5" s="18" t="s">
        <v>33</v>
      </c>
      <c r="D5" s="18" t="s">
        <v>50</v>
      </c>
      <c r="E5" s="15" t="s">
        <v>54</v>
      </c>
      <c r="F5" s="15" t="s">
        <v>56</v>
      </c>
    </row>
    <row r="6" ht="72.0" customHeight="1">
      <c r="A6" s="19" t="s">
        <v>26</v>
      </c>
      <c r="B6" s="19" t="s">
        <v>27</v>
      </c>
      <c r="C6" s="19" t="s">
        <v>28</v>
      </c>
      <c r="D6" s="19" t="s">
        <v>60</v>
      </c>
      <c r="E6" s="20" t="s">
        <v>62</v>
      </c>
      <c r="F6" s="20" t="s">
        <v>63</v>
      </c>
    </row>
    <row r="7" ht="72.0" customHeight="1">
      <c r="A7" s="11" t="s">
        <v>37</v>
      </c>
      <c r="B7" s="11" t="s">
        <v>27</v>
      </c>
      <c r="C7" s="11" t="s">
        <v>38</v>
      </c>
      <c r="D7" s="11" t="s">
        <v>67</v>
      </c>
      <c r="E7" s="15" t="s">
        <v>68</v>
      </c>
      <c r="F7" s="15" t="s">
        <v>56</v>
      </c>
    </row>
    <row r="8" ht="72.0" customHeight="1">
      <c r="A8" s="21" t="s">
        <v>41</v>
      </c>
      <c r="B8" s="21" t="s">
        <v>27</v>
      </c>
      <c r="C8" s="21" t="s">
        <v>42</v>
      </c>
      <c r="D8" s="21" t="s">
        <v>72</v>
      </c>
      <c r="E8" s="20" t="s">
        <v>73</v>
      </c>
      <c r="F8" s="20" t="s">
        <v>56</v>
      </c>
    </row>
    <row r="9" ht="72.0" customHeight="1">
      <c r="A9" s="11" t="s">
        <v>47</v>
      </c>
      <c r="B9" s="11" t="s">
        <v>27</v>
      </c>
      <c r="C9" s="11" t="s">
        <v>49</v>
      </c>
      <c r="D9" s="11" t="s">
        <v>77</v>
      </c>
      <c r="E9" s="15" t="s">
        <v>78</v>
      </c>
      <c r="F9" s="15" t="s">
        <v>56</v>
      </c>
    </row>
    <row r="10" ht="72.0" customHeight="1">
      <c r="A10" s="21" t="s">
        <v>58</v>
      </c>
      <c r="B10" s="21" t="s">
        <v>59</v>
      </c>
      <c r="C10" s="21" t="s">
        <v>61</v>
      </c>
      <c r="D10" s="21" t="s">
        <v>83</v>
      </c>
      <c r="E10" s="20" t="s">
        <v>85</v>
      </c>
      <c r="F10" s="20" t="s">
        <v>56</v>
      </c>
    </row>
    <row r="11" ht="72.0" customHeight="1">
      <c r="A11" s="11" t="s">
        <v>65</v>
      </c>
      <c r="B11" s="11" t="s">
        <v>59</v>
      </c>
      <c r="C11" s="11" t="s">
        <v>66</v>
      </c>
      <c r="D11" s="11" t="s">
        <v>89</v>
      </c>
      <c r="E11" s="15" t="s">
        <v>91</v>
      </c>
      <c r="F11" s="15" t="s">
        <v>56</v>
      </c>
    </row>
    <row r="12" ht="72.0" customHeight="1">
      <c r="A12" s="21" t="s">
        <v>70</v>
      </c>
      <c r="B12" s="21" t="s">
        <v>59</v>
      </c>
      <c r="C12" s="21" t="s">
        <v>71</v>
      </c>
      <c r="D12" s="21" t="s">
        <v>94</v>
      </c>
      <c r="E12" s="20" t="s">
        <v>95</v>
      </c>
      <c r="F12" s="20" t="s">
        <v>56</v>
      </c>
    </row>
    <row r="13" ht="72.0" customHeight="1">
      <c r="A13" s="11" t="s">
        <v>74</v>
      </c>
      <c r="B13" s="11" t="s">
        <v>59</v>
      </c>
      <c r="C13" s="11" t="s">
        <v>75</v>
      </c>
      <c r="D13" s="11" t="s">
        <v>99</v>
      </c>
      <c r="E13" s="15" t="s">
        <v>100</v>
      </c>
      <c r="F13" s="15" t="s">
        <v>56</v>
      </c>
    </row>
    <row r="14" ht="72.0" customHeight="1">
      <c r="A14" s="21" t="s">
        <v>86</v>
      </c>
      <c r="B14" s="21" t="s">
        <v>87</v>
      </c>
      <c r="C14" s="21" t="s">
        <v>88</v>
      </c>
      <c r="D14" s="21" t="s">
        <v>101</v>
      </c>
      <c r="E14" s="20" t="s">
        <v>103</v>
      </c>
      <c r="F14" s="20" t="s">
        <v>56</v>
      </c>
    </row>
    <row r="15" ht="72.0" customHeight="1">
      <c r="A15" s="11" t="s">
        <v>92</v>
      </c>
      <c r="B15" s="11" t="s">
        <v>87</v>
      </c>
      <c r="C15" s="11" t="s">
        <v>93</v>
      </c>
      <c r="D15" s="11" t="s">
        <v>106</v>
      </c>
      <c r="E15" s="15" t="s">
        <v>107</v>
      </c>
      <c r="F15" s="15" t="s">
        <v>56</v>
      </c>
    </row>
    <row r="16" ht="72.0" customHeight="1">
      <c r="A16" s="21" t="s">
        <v>97</v>
      </c>
      <c r="B16" s="21" t="s">
        <v>87</v>
      </c>
      <c r="C16" s="21" t="s">
        <v>98</v>
      </c>
      <c r="D16" s="21" t="s">
        <v>111</v>
      </c>
      <c r="E16" s="20" t="s">
        <v>112</v>
      </c>
      <c r="F16" s="20" t="s">
        <v>56</v>
      </c>
    </row>
    <row r="17" ht="72.0" customHeight="1">
      <c r="A17" s="11" t="s">
        <v>104</v>
      </c>
      <c r="B17" s="11" t="s">
        <v>87</v>
      </c>
      <c r="C17" s="11" t="s">
        <v>105</v>
      </c>
      <c r="D17" s="11" t="s">
        <v>115</v>
      </c>
      <c r="E17" s="15" t="s">
        <v>117</v>
      </c>
      <c r="F17" s="15" t="s">
        <v>56</v>
      </c>
    </row>
    <row r="18" ht="72.0" customHeight="1">
      <c r="A18" s="21" t="s">
        <v>109</v>
      </c>
      <c r="B18" s="21" t="s">
        <v>87</v>
      </c>
      <c r="C18" s="21" t="s">
        <v>110</v>
      </c>
      <c r="D18" s="21" t="s">
        <v>120</v>
      </c>
      <c r="E18" s="20" t="s">
        <v>122</v>
      </c>
      <c r="F18" s="20" t="s">
        <v>56</v>
      </c>
    </row>
    <row r="19" ht="72.0" customHeight="1">
      <c r="A19" s="11" t="s">
        <v>114</v>
      </c>
      <c r="B19" s="11" t="s">
        <v>87</v>
      </c>
      <c r="C19" s="11" t="s">
        <v>116</v>
      </c>
      <c r="D19" s="11" t="s">
        <v>123</v>
      </c>
      <c r="E19" s="15" t="s">
        <v>125</v>
      </c>
      <c r="F19" s="15" t="s">
        <v>56</v>
      </c>
    </row>
    <row r="20" ht="72.0" customHeight="1">
      <c r="A20" s="21" t="s">
        <v>119</v>
      </c>
      <c r="B20" s="21" t="s">
        <v>87</v>
      </c>
      <c r="C20" s="21" t="s">
        <v>121</v>
      </c>
      <c r="D20" s="21" t="s">
        <v>128</v>
      </c>
      <c r="E20" s="20" t="s">
        <v>129</v>
      </c>
      <c r="F20" s="20" t="s">
        <v>56</v>
      </c>
    </row>
    <row r="21" ht="72.0" customHeight="1">
      <c r="A21" s="11" t="s">
        <v>126</v>
      </c>
      <c r="B21" s="11" t="s">
        <v>87</v>
      </c>
      <c r="C21" s="11" t="s">
        <v>127</v>
      </c>
      <c r="D21" s="11" t="s">
        <v>134</v>
      </c>
      <c r="E21" s="15" t="s">
        <v>135</v>
      </c>
      <c r="F21" s="15" t="s">
        <v>56</v>
      </c>
    </row>
    <row r="22" ht="72.0" customHeight="1">
      <c r="A22" s="21" t="s">
        <v>137</v>
      </c>
      <c r="B22" s="21" t="s">
        <v>139</v>
      </c>
      <c r="C22" s="21" t="s">
        <v>141</v>
      </c>
      <c r="D22" s="21" t="s">
        <v>142</v>
      </c>
      <c r="E22" s="20" t="s">
        <v>143</v>
      </c>
      <c r="F22" s="20" t="s">
        <v>56</v>
      </c>
    </row>
    <row r="23" ht="72.0" customHeight="1">
      <c r="A23" s="11" t="s">
        <v>145</v>
      </c>
      <c r="B23" s="11" t="s">
        <v>139</v>
      </c>
      <c r="C23" s="11" t="s">
        <v>147</v>
      </c>
      <c r="D23" s="11" t="s">
        <v>149</v>
      </c>
      <c r="E23" s="15" t="s">
        <v>150</v>
      </c>
      <c r="F23" s="15" t="s">
        <v>56</v>
      </c>
    </row>
    <row r="24" ht="72.0" customHeight="1">
      <c r="A24" s="21" t="s">
        <v>151</v>
      </c>
      <c r="B24" s="21" t="s">
        <v>139</v>
      </c>
      <c r="C24" s="21" t="s">
        <v>152</v>
      </c>
      <c r="D24" s="21" t="s">
        <v>155</v>
      </c>
      <c r="E24" s="20" t="s">
        <v>157</v>
      </c>
      <c r="F24" s="20" t="s">
        <v>56</v>
      </c>
    </row>
    <row r="25" ht="72.0" customHeight="1">
      <c r="A25" s="11" t="s">
        <v>158</v>
      </c>
      <c r="B25" s="11" t="s">
        <v>139</v>
      </c>
      <c r="C25" s="11" t="s">
        <v>159</v>
      </c>
      <c r="D25" s="11" t="s">
        <v>162</v>
      </c>
      <c r="E25" s="15" t="s">
        <v>165</v>
      </c>
      <c r="F25" s="15" t="s">
        <v>56</v>
      </c>
    </row>
    <row r="26" ht="72.0" customHeight="1">
      <c r="A26" s="21" t="s">
        <v>166</v>
      </c>
      <c r="B26" s="21" t="s">
        <v>139</v>
      </c>
      <c r="C26" s="21" t="s">
        <v>167</v>
      </c>
      <c r="D26" s="21" t="s">
        <v>168</v>
      </c>
      <c r="E26" s="20" t="s">
        <v>169</v>
      </c>
      <c r="F26" s="20" t="s">
        <v>56</v>
      </c>
    </row>
    <row r="27" ht="72.0" customHeight="1">
      <c r="A27" s="11" t="s">
        <v>172</v>
      </c>
      <c r="B27" s="11" t="s">
        <v>139</v>
      </c>
      <c r="C27" s="11" t="s">
        <v>174</v>
      </c>
      <c r="D27" s="11" t="s">
        <v>175</v>
      </c>
      <c r="E27" s="15" t="s">
        <v>176</v>
      </c>
      <c r="F27" s="15" t="s">
        <v>56</v>
      </c>
    </row>
    <row r="28" ht="72.0" customHeight="1">
      <c r="A28" s="21" t="s">
        <v>131</v>
      </c>
      <c r="B28" s="21" t="s">
        <v>132</v>
      </c>
      <c r="C28" s="21" t="s">
        <v>133</v>
      </c>
      <c r="D28" s="21" t="s">
        <v>178</v>
      </c>
      <c r="E28" s="20" t="s">
        <v>179</v>
      </c>
      <c r="F28" s="20" t="s">
        <v>56</v>
      </c>
    </row>
    <row r="29" ht="72.0" customHeight="1">
      <c r="A29" s="11" t="s">
        <v>138</v>
      </c>
      <c r="B29" s="11" t="s">
        <v>132</v>
      </c>
      <c r="C29" s="11" t="s">
        <v>140</v>
      </c>
      <c r="D29" s="11" t="s">
        <v>181</v>
      </c>
      <c r="E29" s="15" t="s">
        <v>182</v>
      </c>
      <c r="F29" s="15" t="s">
        <v>56</v>
      </c>
    </row>
    <row r="30" ht="72.0" customHeight="1">
      <c r="A30" s="21" t="s">
        <v>146</v>
      </c>
      <c r="B30" s="21" t="s">
        <v>132</v>
      </c>
      <c r="C30" s="21" t="s">
        <v>148</v>
      </c>
      <c r="D30" s="21" t="s">
        <v>184</v>
      </c>
      <c r="E30" s="20" t="s">
        <v>185</v>
      </c>
      <c r="F30" s="20" t="s">
        <v>56</v>
      </c>
    </row>
    <row r="31" ht="72.0" customHeight="1">
      <c r="A31" s="11" t="s">
        <v>154</v>
      </c>
      <c r="B31" s="11" t="s">
        <v>132</v>
      </c>
      <c r="C31" s="11" t="s">
        <v>156</v>
      </c>
      <c r="D31" s="11" t="s">
        <v>186</v>
      </c>
      <c r="E31" s="15" t="s">
        <v>187</v>
      </c>
      <c r="F31" s="15" t="s">
        <v>56</v>
      </c>
    </row>
    <row r="32" ht="72.0" customHeight="1">
      <c r="A32" s="21" t="s">
        <v>189</v>
      </c>
      <c r="B32" s="21" t="s">
        <v>190</v>
      </c>
      <c r="C32" s="21" t="s">
        <v>191</v>
      </c>
      <c r="D32" s="21" t="s">
        <v>192</v>
      </c>
      <c r="E32" s="20" t="s">
        <v>193</v>
      </c>
      <c r="F32" s="20" t="s">
        <v>56</v>
      </c>
    </row>
    <row r="33" ht="72.0" customHeight="1">
      <c r="A33" s="11" t="s">
        <v>195</v>
      </c>
      <c r="B33" s="11" t="s">
        <v>190</v>
      </c>
      <c r="C33" s="11" t="s">
        <v>196</v>
      </c>
      <c r="D33" s="11" t="s">
        <v>197</v>
      </c>
      <c r="E33" s="15" t="s">
        <v>198</v>
      </c>
      <c r="F33" s="15" t="s">
        <v>56</v>
      </c>
    </row>
    <row r="34" ht="72.0" customHeight="1">
      <c r="A34" s="21" t="s">
        <v>201</v>
      </c>
      <c r="B34" s="21" t="s">
        <v>190</v>
      </c>
      <c r="C34" s="21" t="s">
        <v>203</v>
      </c>
      <c r="D34" s="21" t="s">
        <v>204</v>
      </c>
      <c r="E34" s="20" t="s">
        <v>205</v>
      </c>
      <c r="F34" s="20" t="s">
        <v>56</v>
      </c>
    </row>
    <row r="35" ht="72.0" customHeight="1">
      <c r="A35" s="11" t="s">
        <v>207</v>
      </c>
      <c r="B35" s="11" t="s">
        <v>190</v>
      </c>
      <c r="C35" s="11" t="s">
        <v>208</v>
      </c>
      <c r="D35" s="11" t="s">
        <v>209</v>
      </c>
      <c r="E35" s="15" t="s">
        <v>210</v>
      </c>
      <c r="F35" s="15" t="s">
        <v>56</v>
      </c>
    </row>
    <row r="36" ht="72.0" customHeight="1">
      <c r="A36" s="21" t="s">
        <v>211</v>
      </c>
      <c r="B36" s="21" t="s">
        <v>212</v>
      </c>
      <c r="C36" s="21" t="s">
        <v>214</v>
      </c>
      <c r="D36" s="21" t="s">
        <v>217</v>
      </c>
      <c r="E36" s="20" t="s">
        <v>219</v>
      </c>
      <c r="F36" s="20" t="s">
        <v>220</v>
      </c>
    </row>
    <row r="37" ht="72.0" customHeight="1">
      <c r="A37" s="11" t="s">
        <v>221</v>
      </c>
      <c r="B37" s="11" t="s">
        <v>212</v>
      </c>
      <c r="C37" s="11" t="s">
        <v>222</v>
      </c>
      <c r="D37" s="11" t="s">
        <v>224</v>
      </c>
      <c r="E37" s="15" t="s">
        <v>226</v>
      </c>
      <c r="F37" s="15" t="s">
        <v>220</v>
      </c>
    </row>
    <row r="38" ht="72.0" customHeight="1">
      <c r="A38" s="21" t="s">
        <v>228</v>
      </c>
      <c r="B38" s="21" t="s">
        <v>212</v>
      </c>
      <c r="C38" s="21" t="s">
        <v>229</v>
      </c>
      <c r="D38" s="21" t="s">
        <v>231</v>
      </c>
      <c r="E38" s="20" t="s">
        <v>232</v>
      </c>
      <c r="F38" s="20" t="s">
        <v>220</v>
      </c>
    </row>
    <row r="39" ht="72.0" customHeight="1">
      <c r="A39" s="11" t="s">
        <v>233</v>
      </c>
      <c r="B39" s="11" t="s">
        <v>212</v>
      </c>
      <c r="C39" s="11" t="s">
        <v>234</v>
      </c>
      <c r="D39" s="11" t="s">
        <v>235</v>
      </c>
      <c r="E39" s="15" t="s">
        <v>237</v>
      </c>
      <c r="F39" s="15" t="s">
        <v>56</v>
      </c>
    </row>
    <row r="40" ht="72.0" customHeight="1">
      <c r="A40" s="21" t="s">
        <v>238</v>
      </c>
      <c r="B40" s="21" t="s">
        <v>239</v>
      </c>
      <c r="C40" s="21" t="s">
        <v>240</v>
      </c>
      <c r="D40" s="21" t="s">
        <v>241</v>
      </c>
      <c r="E40" s="20" t="s">
        <v>242</v>
      </c>
      <c r="F40" s="20" t="s">
        <v>56</v>
      </c>
    </row>
    <row r="41" ht="72.0" customHeight="1">
      <c r="A41" s="11" t="s">
        <v>244</v>
      </c>
      <c r="B41" s="11" t="s">
        <v>239</v>
      </c>
      <c r="C41" s="11" t="s">
        <v>245</v>
      </c>
      <c r="D41" s="11" t="s">
        <v>246</v>
      </c>
      <c r="E41" s="15" t="s">
        <v>247</v>
      </c>
      <c r="F41" s="15" t="s">
        <v>56</v>
      </c>
    </row>
    <row r="42" ht="72.0" customHeight="1">
      <c r="A42" s="21" t="s">
        <v>248</v>
      </c>
      <c r="B42" s="21" t="s">
        <v>239</v>
      </c>
      <c r="C42" s="21" t="s">
        <v>251</v>
      </c>
      <c r="D42" s="21" t="s">
        <v>253</v>
      </c>
      <c r="E42" s="20" t="s">
        <v>255</v>
      </c>
      <c r="F42" s="20" t="s">
        <v>56</v>
      </c>
    </row>
    <row r="43" ht="42.0" customHeight="1">
      <c r="A43" s="22"/>
      <c r="B43" s="22"/>
      <c r="C43" s="22"/>
      <c r="D43" s="22"/>
    </row>
    <row r="44" ht="42.0" customHeight="1">
      <c r="A44" s="22"/>
      <c r="B44" s="22"/>
      <c r="C44" s="22"/>
      <c r="D44" s="22"/>
    </row>
    <row r="45" ht="42.0" customHeight="1">
      <c r="A45" s="22"/>
      <c r="B45" s="22"/>
      <c r="C45" s="22"/>
      <c r="D45" s="22"/>
    </row>
    <row r="46" ht="42.0" customHeight="1">
      <c r="A46" s="22"/>
      <c r="B46" s="22"/>
      <c r="C46" s="22"/>
      <c r="D46" s="22"/>
    </row>
    <row r="47" ht="42.0" customHeight="1">
      <c r="A47" s="22"/>
      <c r="B47" s="22"/>
      <c r="C47" s="22"/>
      <c r="D47" s="22"/>
    </row>
    <row r="48" ht="42.0" customHeight="1">
      <c r="A48" s="22"/>
      <c r="B48" s="22"/>
      <c r="C48" s="22"/>
      <c r="D48" s="22"/>
    </row>
    <row r="49" ht="42.0" customHeight="1">
      <c r="A49" s="22"/>
      <c r="B49" s="22"/>
      <c r="C49" s="22"/>
      <c r="D49" s="22"/>
    </row>
    <row r="50" ht="42.0" customHeight="1">
      <c r="A50" s="22"/>
      <c r="B50" s="22"/>
      <c r="C50" s="22"/>
      <c r="D50" s="22"/>
    </row>
    <row r="51" ht="42.0" customHeight="1">
      <c r="A51" s="22"/>
      <c r="B51" s="22"/>
      <c r="C51" s="22"/>
      <c r="D51" s="22"/>
    </row>
    <row r="52" ht="42.0" customHeight="1">
      <c r="A52" s="22"/>
      <c r="B52" s="22"/>
      <c r="C52" s="22"/>
      <c r="D52" s="22"/>
    </row>
    <row r="53" ht="42.0" customHeight="1">
      <c r="A53" s="22"/>
      <c r="B53" s="22"/>
      <c r="C53" s="22"/>
      <c r="D53" s="22"/>
    </row>
    <row r="54" ht="42.0" customHeight="1">
      <c r="A54" s="22"/>
      <c r="B54" s="22"/>
      <c r="C54" s="22"/>
      <c r="D54" s="22"/>
    </row>
    <row r="55" ht="42.0" customHeight="1">
      <c r="A55" s="22"/>
      <c r="B55" s="22"/>
      <c r="C55" s="22"/>
      <c r="D55" s="22"/>
    </row>
    <row r="56" ht="42.0" customHeight="1">
      <c r="A56" s="22"/>
      <c r="B56" s="22"/>
      <c r="C56" s="22"/>
      <c r="D56" s="22"/>
    </row>
    <row r="57" ht="42.0" customHeight="1">
      <c r="A57" s="22"/>
      <c r="B57" s="22"/>
      <c r="C57" s="22"/>
      <c r="D57" s="22"/>
    </row>
    <row r="58" ht="42.0" customHeight="1">
      <c r="A58" s="22"/>
      <c r="B58" s="22"/>
      <c r="C58" s="22"/>
      <c r="D58" s="22"/>
    </row>
    <row r="59" ht="42.0" customHeight="1">
      <c r="A59" s="22"/>
      <c r="B59" s="22"/>
      <c r="C59" s="22"/>
      <c r="D59" s="22"/>
    </row>
    <row r="60" ht="42.0" customHeight="1">
      <c r="A60" s="22"/>
      <c r="B60" s="22"/>
      <c r="C60" s="22"/>
      <c r="D60" s="22"/>
    </row>
    <row r="61" ht="42.0" customHeight="1">
      <c r="A61" s="22"/>
      <c r="B61" s="22"/>
      <c r="C61" s="22"/>
      <c r="D61" s="22"/>
    </row>
    <row r="62" ht="42.0" customHeight="1">
      <c r="A62" s="22"/>
      <c r="B62" s="22"/>
      <c r="C62" s="22"/>
      <c r="D62" s="22"/>
    </row>
    <row r="63" ht="42.0" customHeight="1">
      <c r="A63" s="22"/>
      <c r="B63" s="22"/>
      <c r="C63" s="22"/>
      <c r="D63" s="22"/>
    </row>
    <row r="64" ht="42.0" customHeight="1">
      <c r="A64" s="22"/>
      <c r="B64" s="22"/>
      <c r="C64" s="22"/>
      <c r="D64" s="22"/>
    </row>
    <row r="65" ht="42.0" customHeight="1">
      <c r="A65" s="22"/>
      <c r="B65" s="22"/>
      <c r="C65" s="22"/>
      <c r="D65" s="22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2:D2"/>
  </mergeCells>
  <conditionalFormatting sqref="A6:A65">
    <cfRule type="expression" dxfId="0" priority="1">
      <formula>LEFT(A6,3)="HU-"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</dc:creator>
</cp:coreProperties>
</file>